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licerCaches/slicerCache1.xml" ContentType="application/vnd.ms-excel.slicerCache+xml"/>
  <Override PartName="/xl/slicerCaches/slicerCache2.xml" ContentType="application/vnd.ms-excel.slicerCache+xml"/>
  <Override PartName="/xl/charts/style7.xml" ContentType="application/vnd.ms-office.chartstyle+xml"/>
  <Override PartName="/xl/charts/style6.xml" ContentType="application/vnd.ms-office.chart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5.xml" ContentType="application/vnd.ms-office.chartstyle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olors7.xml" ContentType="application/vnd.ms-office.chartcolor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charts/colors5.xml" ContentType="application/vnd.ms-office.chartcolorstyle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slicers/slicer1.xml" ContentType="application/vnd.ms-excel.slicer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 activeTab="3"/>
  </bookViews>
  <sheets>
    <sheet name="Formulas" sheetId="1" r:id="rId1"/>
    <sheet name="Pivot Tables" sheetId="11" r:id="rId2"/>
    <sheet name="Dashboard" sheetId="12" r:id="rId3"/>
    <sheet name="Charts" sheetId="8" r:id="rId4"/>
  </sheets>
  <definedNames>
    <definedName name="Slicer_Age">#N/A</definedName>
    <definedName name="Slicer_Experience_Years">#N/A</definedName>
    <definedName name="Slicer_Gende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J2" i="1"/>
  <c r="I2"/>
  <c r="H2"/>
  <c r="M5"/>
  <c r="L5"/>
  <c r="K5"/>
  <c r="M2"/>
  <c r="L2"/>
  <c r="K2"/>
  <c r="G8"/>
  <c r="G7"/>
  <c r="G3"/>
  <c r="G4"/>
  <c r="G5"/>
  <c r="G6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2"/>
</calcChain>
</file>

<file path=xl/sharedStrings.xml><?xml version="1.0" encoding="utf-8"?>
<sst xmlns="http://schemas.openxmlformats.org/spreadsheetml/2006/main" count="101" uniqueCount="22">
  <si>
    <t>ID</t>
  </si>
  <si>
    <t>Experience_Years</t>
  </si>
  <si>
    <t>Age</t>
  </si>
  <si>
    <t>Gender</t>
  </si>
  <si>
    <t>Salary</t>
  </si>
  <si>
    <t>Female</t>
  </si>
  <si>
    <t>Male</t>
  </si>
  <si>
    <t>IF</t>
  </si>
  <si>
    <t>COUNTIF</t>
  </si>
  <si>
    <t>SUMIF</t>
  </si>
  <si>
    <t>VLOOKUP</t>
  </si>
  <si>
    <t>AVG SALARY</t>
  </si>
  <si>
    <t>MAX SALARY</t>
  </si>
  <si>
    <t>MIN SALARY</t>
  </si>
  <si>
    <t>AVG AGE</t>
  </si>
  <si>
    <t>MAX AGE</t>
  </si>
  <si>
    <t>MIN AGE</t>
  </si>
  <si>
    <t>Row Labels</t>
  </si>
  <si>
    <t>Grand Total</t>
  </si>
  <si>
    <t>Sum of Salary by Experience</t>
  </si>
  <si>
    <t>Sum of Salary by Age</t>
  </si>
  <si>
    <t>Salary Dashboard</t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</si>
</sst>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8"/>
      <color theme="5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8" fillId="2" borderId="0" xfId="7" applyFont="1"/>
    <xf numFmtId="0" fontId="19" fillId="0" borderId="0" xfId="0" applyFont="1"/>
    <xf numFmtId="165" fontId="19" fillId="0" borderId="0" xfId="1" applyNumberFormat="1" applyFont="1"/>
    <xf numFmtId="0" fontId="20" fillId="0" borderId="0" xfId="0" applyFont="1"/>
    <xf numFmtId="0" fontId="21" fillId="0" borderId="0" xfId="0" pivotButton="1" applyFont="1"/>
    <xf numFmtId="0" fontId="23" fillId="0" borderId="0" xfId="0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 indent="1"/>
    </xf>
    <xf numFmtId="165" fontId="25" fillId="0" borderId="0" xfId="0" applyNumberFormat="1" applyFont="1"/>
    <xf numFmtId="0" fontId="26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i/>
      </font>
    </dxf>
    <dxf>
      <font>
        <i/>
      </font>
    </dxf>
    <dxf>
      <font>
        <color theme="1" tint="0.14999847407452621"/>
      </font>
    </dxf>
    <dxf>
      <font>
        <color theme="6" tint="-0.249977111117893"/>
      </font>
    </dxf>
    <dxf>
      <font>
        <color theme="5" tint="-0.24997711111789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[Bhawesh Joshi _DataAnalytics_Week1.xlsx]Pivot Tables!PivotTable1</c:name>
    <c:fmtId val="1"/>
  </c:pivotSource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32755905511813"/>
          <c:y val="0.26791447944007046"/>
          <c:w val="0.68531692913385756"/>
          <c:h val="0.53774387576552962"/>
        </c:manualLayout>
      </c:layout>
      <c:barChart>
        <c:barDir val="col"/>
        <c:grouping val="clustered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'Pivot Tables'!$A$4:$A$27</c:f>
              <c:multiLvlStrCache>
                <c:ptCount val="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4</c:v>
                  </c:pt>
                  <c:pt idx="5">
                    <c:v>10</c:v>
                  </c:pt>
                  <c:pt idx="6">
                    <c:v>20</c:v>
                  </c:pt>
                  <c:pt idx="7">
                    <c:v>15</c:v>
                  </c:pt>
                  <c:pt idx="8">
                    <c:v>27</c:v>
                  </c:pt>
                  <c:pt idx="9">
                    <c:v>19</c:v>
                  </c:pt>
                  <c:pt idx="10">
                    <c:v>4</c:v>
                  </c:pt>
                  <c:pt idx="11">
                    <c:v>2</c:v>
                  </c:pt>
                  <c:pt idx="12">
                    <c:v>1</c:v>
                  </c:pt>
                  <c:pt idx="13">
                    <c:v>11</c:v>
                  </c:pt>
                  <c:pt idx="14">
                    <c:v>10</c:v>
                  </c:pt>
                  <c:pt idx="15">
                    <c:v>6</c:v>
                  </c:pt>
                  <c:pt idx="16">
                    <c:v>25</c:v>
                  </c:pt>
                  <c:pt idx="17">
                    <c:v>14</c:v>
                  </c:pt>
                  <c:pt idx="18">
                    <c:v>5</c:v>
                  </c:pt>
                  <c:pt idx="19">
                    <c:v>15</c:v>
                  </c:pt>
                  <c:pt idx="20">
                    <c:v>16</c:v>
                  </c:pt>
                </c:lvl>
                <c:lvl>
                  <c:pt idx="0">
                    <c:v>Female</c:v>
                  </c:pt>
                  <c:pt idx="10">
                    <c:v>Male</c:v>
                  </c:pt>
                </c:lvl>
              </c:multiLvlStrCache>
            </c:multiLvlStrRef>
          </c:cat>
          <c:val>
            <c:numRef>
              <c:f>'Pivot Tables'!$B$4:$B$27</c:f>
              <c:numCache>
                <c:formatCode>"$"#,##0</c:formatCode>
                <c:ptCount val="21"/>
                <c:pt idx="0">
                  <c:v>6000</c:v>
                </c:pt>
                <c:pt idx="1">
                  <c:v>15100</c:v>
                </c:pt>
                <c:pt idx="2">
                  <c:v>190000</c:v>
                </c:pt>
                <c:pt idx="3">
                  <c:v>250000</c:v>
                </c:pt>
                <c:pt idx="4">
                  <c:v>345900</c:v>
                </c:pt>
                <c:pt idx="5">
                  <c:v>991500</c:v>
                </c:pt>
                <c:pt idx="6">
                  <c:v>1540000</c:v>
                </c:pt>
                <c:pt idx="7">
                  <c:v>8550000</c:v>
                </c:pt>
                <c:pt idx="8">
                  <c:v>10000000</c:v>
                </c:pt>
                <c:pt idx="9">
                  <c:v>15100000</c:v>
                </c:pt>
                <c:pt idx="10">
                  <c:v>25000</c:v>
                </c:pt>
                <c:pt idx="11">
                  <c:v>47500</c:v>
                </c:pt>
                <c:pt idx="12">
                  <c:v>63000</c:v>
                </c:pt>
                <c:pt idx="13">
                  <c:v>220100</c:v>
                </c:pt>
                <c:pt idx="14">
                  <c:v>410000</c:v>
                </c:pt>
                <c:pt idx="15">
                  <c:v>1400000</c:v>
                </c:pt>
                <c:pt idx="16">
                  <c:v>5001000</c:v>
                </c:pt>
                <c:pt idx="17">
                  <c:v>6000050</c:v>
                </c:pt>
                <c:pt idx="18">
                  <c:v>6845000</c:v>
                </c:pt>
                <c:pt idx="19">
                  <c:v>7470000</c:v>
                </c:pt>
                <c:pt idx="2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46-4914-9218-323BC54FEBB9}"/>
            </c:ext>
          </c:extLst>
        </c:ser>
        <c:gapWidth val="219"/>
        <c:overlap val="-27"/>
        <c:axId val="129282048"/>
        <c:axId val="129283584"/>
      </c:barChart>
      <c:catAx>
        <c:axId val="1292820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3584"/>
        <c:crosses val="autoZero"/>
        <c:auto val="1"/>
        <c:lblAlgn val="ctr"/>
        <c:lblOffset val="100"/>
      </c:catAx>
      <c:valAx>
        <c:axId val="1292835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[Bhawesh Joshi _DataAnalytics_Week1.xlsx]Pivot Tables!PivotTable2</c:name>
    <c:fmtId val="1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Tables'!$B$33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Tables'!$A$34:$A$62</c:f>
              <c:multiLvlStrCache>
                <c:ptCount val="26"/>
                <c:lvl>
                  <c:pt idx="0">
                    <c:v>22</c:v>
                  </c:pt>
                  <c:pt idx="1">
                    <c:v>21</c:v>
                  </c:pt>
                  <c:pt idx="2">
                    <c:v>36</c:v>
                  </c:pt>
                  <c:pt idx="3">
                    <c:v>27</c:v>
                  </c:pt>
                  <c:pt idx="4">
                    <c:v>23</c:v>
                  </c:pt>
                  <c:pt idx="5">
                    <c:v>28</c:v>
                  </c:pt>
                  <c:pt idx="6">
                    <c:v>26</c:v>
                  </c:pt>
                  <c:pt idx="7">
                    <c:v>34</c:v>
                  </c:pt>
                  <c:pt idx="8">
                    <c:v>55</c:v>
                  </c:pt>
                  <c:pt idx="9">
                    <c:v>53</c:v>
                  </c:pt>
                  <c:pt idx="10">
                    <c:v>62</c:v>
                  </c:pt>
                  <c:pt idx="11">
                    <c:v>54</c:v>
                  </c:pt>
                  <c:pt idx="12">
                    <c:v>18</c:v>
                  </c:pt>
                  <c:pt idx="13">
                    <c:v>23</c:v>
                  </c:pt>
                  <c:pt idx="14">
                    <c:v>17</c:v>
                  </c:pt>
                  <c:pt idx="15">
                    <c:v>26</c:v>
                  </c:pt>
                  <c:pt idx="16">
                    <c:v>22</c:v>
                  </c:pt>
                  <c:pt idx="17">
                    <c:v>21</c:v>
                  </c:pt>
                  <c:pt idx="18">
                    <c:v>34</c:v>
                  </c:pt>
                  <c:pt idx="19">
                    <c:v>40</c:v>
                  </c:pt>
                  <c:pt idx="20">
                    <c:v>36</c:v>
                  </c:pt>
                  <c:pt idx="21">
                    <c:v>62</c:v>
                  </c:pt>
                  <c:pt idx="22">
                    <c:v>39</c:v>
                  </c:pt>
                  <c:pt idx="23">
                    <c:v>54</c:v>
                  </c:pt>
                  <c:pt idx="24">
                    <c:v>49</c:v>
                  </c:pt>
                  <c:pt idx="25">
                    <c:v>29</c:v>
                  </c:pt>
                </c:lvl>
                <c:lvl>
                  <c:pt idx="0">
                    <c:v>Female</c:v>
                  </c:pt>
                  <c:pt idx="12">
                    <c:v>Male</c:v>
                  </c:pt>
                </c:lvl>
              </c:multiLvlStrCache>
            </c:multiLvlStrRef>
          </c:cat>
          <c:val>
            <c:numRef>
              <c:f>'Pivot Tables'!$B$34:$B$62</c:f>
              <c:numCache>
                <c:formatCode>"$"#,##0</c:formatCode>
                <c:ptCount val="26"/>
                <c:pt idx="0">
                  <c:v>20000</c:v>
                </c:pt>
                <c:pt idx="1">
                  <c:v>21100</c:v>
                </c:pt>
                <c:pt idx="2">
                  <c:v>61500</c:v>
                </c:pt>
                <c:pt idx="3">
                  <c:v>87000</c:v>
                </c:pt>
                <c:pt idx="4">
                  <c:v>178900</c:v>
                </c:pt>
                <c:pt idx="5">
                  <c:v>250000</c:v>
                </c:pt>
                <c:pt idx="6">
                  <c:v>250000</c:v>
                </c:pt>
                <c:pt idx="7">
                  <c:v>930000</c:v>
                </c:pt>
                <c:pt idx="8">
                  <c:v>1540000</c:v>
                </c:pt>
                <c:pt idx="9">
                  <c:v>9300000</c:v>
                </c:pt>
                <c:pt idx="10">
                  <c:v>10000000</c:v>
                </c:pt>
                <c:pt idx="11">
                  <c:v>14350000</c:v>
                </c:pt>
                <c:pt idx="12">
                  <c:v>3000</c:v>
                </c:pt>
                <c:pt idx="13">
                  <c:v>7500</c:v>
                </c:pt>
                <c:pt idx="14">
                  <c:v>10000</c:v>
                </c:pt>
                <c:pt idx="15">
                  <c:v>25000</c:v>
                </c:pt>
                <c:pt idx="16">
                  <c:v>25000</c:v>
                </c:pt>
                <c:pt idx="17">
                  <c:v>65000</c:v>
                </c:pt>
                <c:pt idx="18">
                  <c:v>80000</c:v>
                </c:pt>
                <c:pt idx="19">
                  <c:v>220100</c:v>
                </c:pt>
                <c:pt idx="20">
                  <c:v>330000</c:v>
                </c:pt>
                <c:pt idx="21">
                  <c:v>5001000</c:v>
                </c:pt>
                <c:pt idx="22">
                  <c:v>6000050</c:v>
                </c:pt>
                <c:pt idx="23">
                  <c:v>7470000</c:v>
                </c:pt>
                <c:pt idx="24">
                  <c:v>7600000</c:v>
                </c:pt>
                <c:pt idx="25">
                  <c:v>8245000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F8-4F33-8C24-44B343787DE9}"/>
            </c:ext>
          </c:extLst>
        </c:ser>
        <c:marker val="1"/>
        <c:axId val="130049536"/>
        <c:axId val="130051072"/>
      </c:lineChart>
      <c:catAx>
        <c:axId val="13004953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1072"/>
        <c:crosses val="autoZero"/>
        <c:auto val="1"/>
        <c:lblAlgn val="ctr"/>
        <c:lblOffset val="100"/>
      </c:catAx>
      <c:valAx>
        <c:axId val="1300510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[Bhawesh Joshi _DataAnalytics_Week1.xlsx]Pivot Tables!PivotTable1</c:name>
    <c:fmtId val="4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32755905511813"/>
          <c:y val="0.26791447944007046"/>
          <c:w val="0.68531692913385756"/>
          <c:h val="0.53774387576552962"/>
        </c:manualLayout>
      </c:layout>
      <c:barChart>
        <c:barDir val="col"/>
        <c:grouping val="clustered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'Pivot Tables'!$A$4:$A$27</c:f>
              <c:multiLvlStrCache>
                <c:ptCount val="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4</c:v>
                  </c:pt>
                  <c:pt idx="5">
                    <c:v>10</c:v>
                  </c:pt>
                  <c:pt idx="6">
                    <c:v>20</c:v>
                  </c:pt>
                  <c:pt idx="7">
                    <c:v>15</c:v>
                  </c:pt>
                  <c:pt idx="8">
                    <c:v>27</c:v>
                  </c:pt>
                  <c:pt idx="9">
                    <c:v>19</c:v>
                  </c:pt>
                  <c:pt idx="10">
                    <c:v>4</c:v>
                  </c:pt>
                  <c:pt idx="11">
                    <c:v>2</c:v>
                  </c:pt>
                  <c:pt idx="12">
                    <c:v>1</c:v>
                  </c:pt>
                  <c:pt idx="13">
                    <c:v>11</c:v>
                  </c:pt>
                  <c:pt idx="14">
                    <c:v>10</c:v>
                  </c:pt>
                  <c:pt idx="15">
                    <c:v>6</c:v>
                  </c:pt>
                  <c:pt idx="16">
                    <c:v>25</c:v>
                  </c:pt>
                  <c:pt idx="17">
                    <c:v>14</c:v>
                  </c:pt>
                  <c:pt idx="18">
                    <c:v>5</c:v>
                  </c:pt>
                  <c:pt idx="19">
                    <c:v>15</c:v>
                  </c:pt>
                  <c:pt idx="20">
                    <c:v>16</c:v>
                  </c:pt>
                </c:lvl>
                <c:lvl>
                  <c:pt idx="0">
                    <c:v>Female</c:v>
                  </c:pt>
                  <c:pt idx="10">
                    <c:v>Male</c:v>
                  </c:pt>
                </c:lvl>
              </c:multiLvlStrCache>
            </c:multiLvlStrRef>
          </c:cat>
          <c:val>
            <c:numRef>
              <c:f>'Pivot Tables'!$B$4:$B$27</c:f>
              <c:numCache>
                <c:formatCode>"$"#,##0</c:formatCode>
                <c:ptCount val="21"/>
                <c:pt idx="0">
                  <c:v>6000</c:v>
                </c:pt>
                <c:pt idx="1">
                  <c:v>15100</c:v>
                </c:pt>
                <c:pt idx="2">
                  <c:v>190000</c:v>
                </c:pt>
                <c:pt idx="3">
                  <c:v>250000</c:v>
                </c:pt>
                <c:pt idx="4">
                  <c:v>345900</c:v>
                </c:pt>
                <c:pt idx="5">
                  <c:v>991500</c:v>
                </c:pt>
                <c:pt idx="6">
                  <c:v>1540000</c:v>
                </c:pt>
                <c:pt idx="7">
                  <c:v>8550000</c:v>
                </c:pt>
                <c:pt idx="8">
                  <c:v>10000000</c:v>
                </c:pt>
                <c:pt idx="9">
                  <c:v>15100000</c:v>
                </c:pt>
                <c:pt idx="10">
                  <c:v>25000</c:v>
                </c:pt>
                <c:pt idx="11">
                  <c:v>47500</c:v>
                </c:pt>
                <c:pt idx="12">
                  <c:v>63000</c:v>
                </c:pt>
                <c:pt idx="13">
                  <c:v>220100</c:v>
                </c:pt>
                <c:pt idx="14">
                  <c:v>410000</c:v>
                </c:pt>
                <c:pt idx="15">
                  <c:v>1400000</c:v>
                </c:pt>
                <c:pt idx="16">
                  <c:v>5001000</c:v>
                </c:pt>
                <c:pt idx="17">
                  <c:v>6000050</c:v>
                </c:pt>
                <c:pt idx="18">
                  <c:v>6845000</c:v>
                </c:pt>
                <c:pt idx="19">
                  <c:v>7470000</c:v>
                </c:pt>
                <c:pt idx="2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7E-4F82-B96C-031349E82D10}"/>
            </c:ext>
          </c:extLst>
        </c:ser>
        <c:gapWidth val="219"/>
        <c:overlap val="-27"/>
        <c:axId val="129622784"/>
        <c:axId val="129624320"/>
      </c:barChart>
      <c:catAx>
        <c:axId val="129622784"/>
        <c:scaling>
          <c:orientation val="minMax"/>
        </c:scaling>
        <c:axPos val="b"/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4320"/>
        <c:crosses val="autoZero"/>
        <c:auto val="1"/>
        <c:lblAlgn val="ctr"/>
        <c:lblOffset val="100"/>
      </c:catAx>
      <c:valAx>
        <c:axId val="1296243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[Bhawesh Joshi _DataAnalytics_Week1.xlsx]Pivot Tables!PivotTable2</c:name>
    <c:fmtId val="4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Tables'!$B$33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Tables'!$A$34:$A$62</c:f>
              <c:multiLvlStrCache>
                <c:ptCount val="26"/>
                <c:lvl>
                  <c:pt idx="0">
                    <c:v>22</c:v>
                  </c:pt>
                  <c:pt idx="1">
                    <c:v>21</c:v>
                  </c:pt>
                  <c:pt idx="2">
                    <c:v>36</c:v>
                  </c:pt>
                  <c:pt idx="3">
                    <c:v>27</c:v>
                  </c:pt>
                  <c:pt idx="4">
                    <c:v>23</c:v>
                  </c:pt>
                  <c:pt idx="5">
                    <c:v>28</c:v>
                  </c:pt>
                  <c:pt idx="6">
                    <c:v>26</c:v>
                  </c:pt>
                  <c:pt idx="7">
                    <c:v>34</c:v>
                  </c:pt>
                  <c:pt idx="8">
                    <c:v>55</c:v>
                  </c:pt>
                  <c:pt idx="9">
                    <c:v>53</c:v>
                  </c:pt>
                  <c:pt idx="10">
                    <c:v>62</c:v>
                  </c:pt>
                  <c:pt idx="11">
                    <c:v>54</c:v>
                  </c:pt>
                  <c:pt idx="12">
                    <c:v>18</c:v>
                  </c:pt>
                  <c:pt idx="13">
                    <c:v>23</c:v>
                  </c:pt>
                  <c:pt idx="14">
                    <c:v>17</c:v>
                  </c:pt>
                  <c:pt idx="15">
                    <c:v>26</c:v>
                  </c:pt>
                  <c:pt idx="16">
                    <c:v>22</c:v>
                  </c:pt>
                  <c:pt idx="17">
                    <c:v>21</c:v>
                  </c:pt>
                  <c:pt idx="18">
                    <c:v>34</c:v>
                  </c:pt>
                  <c:pt idx="19">
                    <c:v>40</c:v>
                  </c:pt>
                  <c:pt idx="20">
                    <c:v>36</c:v>
                  </c:pt>
                  <c:pt idx="21">
                    <c:v>62</c:v>
                  </c:pt>
                  <c:pt idx="22">
                    <c:v>39</c:v>
                  </c:pt>
                  <c:pt idx="23">
                    <c:v>54</c:v>
                  </c:pt>
                  <c:pt idx="24">
                    <c:v>49</c:v>
                  </c:pt>
                  <c:pt idx="25">
                    <c:v>29</c:v>
                  </c:pt>
                </c:lvl>
                <c:lvl>
                  <c:pt idx="0">
                    <c:v>Female</c:v>
                  </c:pt>
                  <c:pt idx="12">
                    <c:v>Male</c:v>
                  </c:pt>
                </c:lvl>
              </c:multiLvlStrCache>
            </c:multiLvlStrRef>
          </c:cat>
          <c:val>
            <c:numRef>
              <c:f>'Pivot Tables'!$B$34:$B$62</c:f>
              <c:numCache>
                <c:formatCode>"$"#,##0</c:formatCode>
                <c:ptCount val="26"/>
                <c:pt idx="0">
                  <c:v>20000</c:v>
                </c:pt>
                <c:pt idx="1">
                  <c:v>21100</c:v>
                </c:pt>
                <c:pt idx="2">
                  <c:v>61500</c:v>
                </c:pt>
                <c:pt idx="3">
                  <c:v>87000</c:v>
                </c:pt>
                <c:pt idx="4">
                  <c:v>178900</c:v>
                </c:pt>
                <c:pt idx="5">
                  <c:v>250000</c:v>
                </c:pt>
                <c:pt idx="6">
                  <c:v>250000</c:v>
                </c:pt>
                <c:pt idx="7">
                  <c:v>930000</c:v>
                </c:pt>
                <c:pt idx="8">
                  <c:v>1540000</c:v>
                </c:pt>
                <c:pt idx="9">
                  <c:v>9300000</c:v>
                </c:pt>
                <c:pt idx="10">
                  <c:v>10000000</c:v>
                </c:pt>
                <c:pt idx="11">
                  <c:v>14350000</c:v>
                </c:pt>
                <c:pt idx="12">
                  <c:v>3000</c:v>
                </c:pt>
                <c:pt idx="13">
                  <c:v>7500</c:v>
                </c:pt>
                <c:pt idx="14">
                  <c:v>10000</c:v>
                </c:pt>
                <c:pt idx="15">
                  <c:v>25000</c:v>
                </c:pt>
                <c:pt idx="16">
                  <c:v>25000</c:v>
                </c:pt>
                <c:pt idx="17">
                  <c:v>65000</c:v>
                </c:pt>
                <c:pt idx="18">
                  <c:v>80000</c:v>
                </c:pt>
                <c:pt idx="19">
                  <c:v>220100</c:v>
                </c:pt>
                <c:pt idx="20">
                  <c:v>330000</c:v>
                </c:pt>
                <c:pt idx="21">
                  <c:v>5001000</c:v>
                </c:pt>
                <c:pt idx="22">
                  <c:v>6000050</c:v>
                </c:pt>
                <c:pt idx="23">
                  <c:v>7470000</c:v>
                </c:pt>
                <c:pt idx="24">
                  <c:v>7600000</c:v>
                </c:pt>
                <c:pt idx="25">
                  <c:v>8245000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371-4F1A-9C61-6A11AFE2596C}"/>
            </c:ext>
          </c:extLst>
        </c:ser>
        <c:marker val="1"/>
        <c:axId val="130198144"/>
        <c:axId val="130208128"/>
      </c:lineChart>
      <c:catAx>
        <c:axId val="13019814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8128"/>
        <c:crosses val="autoZero"/>
        <c:auto val="1"/>
        <c:lblAlgn val="ctr"/>
        <c:lblOffset val="100"/>
      </c:catAx>
      <c:valAx>
        <c:axId val="1302081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9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60000"/>
                    <a:lumOff val="40000"/>
                  </a:schemeClr>
                </a:solidFill>
              </a:rPr>
              <a:t>Salary by Gender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Charts!$D$2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Charts!$A$2:$D$2</c15:sqref>
                  </c15:fullRef>
                  <c15:levelRef>
                    <c15:sqref>Charts!$D$2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</c:f>
              <c:numCache>
                <c:formatCode>"$"#,##0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E4-425E-BEF1-9B369E2E5B03}"/>
            </c:ext>
          </c:extLst>
        </c:ser>
        <c:ser>
          <c:idx val="1"/>
          <c:order val="1"/>
          <c:tx>
            <c:strRef>
              <c:f>Charts!$D$3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Charts!$A$3:$D$3</c15:sqref>
                  </c15:fullRef>
                  <c15:levelRef>
                    <c15:sqref>Charts!$D$3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</c:f>
              <c:numCache>
                <c:formatCode>"$"#,##0</c:formatCode>
                <c:ptCount val="1"/>
                <c:pt idx="0">
                  <c:v>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CE4-425E-BEF1-9B369E2E5B03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Charts!$A$4:$D$4</c15:sqref>
                  </c15:fullRef>
                  <c15:levelRef>
                    <c15:sqref>Charts!$D$4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Charts!$E$4</c:f>
              <c:numCache>
                <c:formatCode>"$"#,##0</c:formatCode>
                <c:ptCount val="1"/>
                <c:pt idx="0">
                  <c:v>170000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CE4-425E-BEF1-9B369E2E5B03}"/>
            </c:ext>
          </c:extLst>
        </c:ser>
        <c:ser>
          <c:idx val="3"/>
          <c:order val="3"/>
          <c:tx>
            <c:strRef>
              <c:f>Charts!$D$5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Charts!$A$5:$D$5</c15:sqref>
                  </c15:fullRef>
                  <c15:levelRef>
                    <c15:sqref>Charts!$D$5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Charts!$E$5</c:f>
              <c:numCache>
                <c:formatCode>"$"#,##0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CE4-425E-BEF1-9B369E2E5B03}"/>
            </c:ext>
          </c:extLst>
        </c:ser>
        <c:ser>
          <c:idx val="4"/>
          <c:order val="4"/>
          <c:tx>
            <c:strRef>
              <c:f>Charts!$D$6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Charts!$A$6:$D$6</c15:sqref>
                  </c15:fullRef>
                  <c15:levelRef>
                    <c15:sqref>Charts!$D$6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Charts!$E$6</c:f>
              <c:numCache>
                <c:formatCode>"$"#,##0</c:formatCode>
                <c:ptCount val="1"/>
                <c:pt idx="0">
                  <c:v>10000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CE4-425E-BEF1-9B369E2E5B03}"/>
            </c:ext>
          </c:extLst>
        </c:ser>
        <c:ser>
          <c:idx val="5"/>
          <c:order val="5"/>
          <c:tx>
            <c:strRef>
              <c:f>Charts!$D$7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Charts!$A$7:$D$7</c15:sqref>
                  </c15:fullRef>
                  <c15:levelRef>
                    <c15:sqref>Charts!$D$7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Charts!$E$7</c:f>
              <c:numCache>
                <c:formatCode>"$"#,##0</c:formatCode>
                <c:ptCount val="1"/>
                <c:pt idx="0">
                  <c:v>5001000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CE4-425E-BEF1-9B369E2E5B03}"/>
            </c:ext>
          </c:extLst>
        </c:ser>
        <c:ser>
          <c:idx val="6"/>
          <c:order val="6"/>
          <c:tx>
            <c:strRef>
              <c:f>Charts!$D$8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Charts!$A$8:$D$8</c15:sqref>
                  </c15:fullRef>
                  <c15:levelRef>
                    <c15:sqref>Charts!$D$8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Charts!$E$8</c:f>
              <c:numCache>
                <c:formatCode>"$"#,##0</c:formatCode>
                <c:ptCount val="1"/>
                <c:pt idx="0">
                  <c:v>800000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CE4-425E-BEF1-9B369E2E5B03}"/>
            </c:ext>
          </c:extLst>
        </c:ser>
        <c:ser>
          <c:idx val="7"/>
          <c:order val="7"/>
          <c:tx>
            <c:strRef>
              <c:f>Charts!$D$9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Charts!$A$9:$D$9</c15:sqref>
                  </c15:fullRef>
                  <c15:levelRef>
                    <c15:sqref>Charts!$D$9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Charts!$E$9</c:f>
              <c:numCache>
                <c:formatCode>"$"#,##0</c:formatCode>
                <c:ptCount val="1"/>
                <c:pt idx="0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CE4-425E-BEF1-9B369E2E5B03}"/>
            </c:ext>
          </c:extLst>
        </c:ser>
        <c:ser>
          <c:idx val="8"/>
          <c:order val="8"/>
          <c:tx>
            <c:strRef>
              <c:f>Charts!$D$10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Charts!$A$10:$D$10</c15:sqref>
                  </c15:fullRef>
                  <c15:levelRef>
                    <c15:sqref>Charts!$D$10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Charts!$E$10</c:f>
              <c:numCache>
                <c:formatCode>"$"#,##0</c:formatCode>
                <c:ptCount val="1"/>
                <c:pt idx="0">
                  <c:v>61500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CE4-425E-BEF1-9B369E2E5B03}"/>
            </c:ext>
          </c:extLst>
        </c:ser>
        <c:ser>
          <c:idx val="9"/>
          <c:order val="9"/>
          <c:tx>
            <c:strRef>
              <c:f>Charts!$D$11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Charts!$A$11:$D$11</c15:sqref>
                  </c15:fullRef>
                  <c15:levelRef>
                    <c15:sqref>Charts!$D$11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Charts!$E$11</c:f>
              <c:numCache>
                <c:formatCode>"$"#,##0</c:formatCode>
                <c:ptCount val="1"/>
                <c:pt idx="0">
                  <c:v>650000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CE4-425E-BEF1-9B369E2E5B03}"/>
            </c:ext>
          </c:extLst>
        </c:ser>
        <c:ser>
          <c:idx val="10"/>
          <c:order val="10"/>
          <c:tx>
            <c:strRef>
              <c:f>Charts!$D$12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Charts!$A$12:$D$12</c15:sqref>
                  </c15:fullRef>
                  <c15:levelRef>
                    <c15:sqref>Charts!$D$12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Charts!$E$12</c:f>
              <c:numCache>
                <c:formatCode>"$"#,##0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CE4-425E-BEF1-9B369E2E5B03}"/>
            </c:ext>
          </c:extLst>
        </c:ser>
        <c:ser>
          <c:idx val="11"/>
          <c:order val="11"/>
          <c:tx>
            <c:strRef>
              <c:f>Charts!$D$13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Charts!$A$13:$D$13</c15:sqref>
                  </c15:fullRef>
                  <c15:levelRef>
                    <c15:sqref>Charts!$D$13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Charts!$E$13</c:f>
              <c:numCache>
                <c:formatCode>"$"#,##0</c:formatCode>
                <c:ptCount val="1"/>
                <c:pt idx="0">
                  <c:v>1400000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CE4-425E-BEF1-9B369E2E5B03}"/>
            </c:ext>
          </c:extLst>
        </c:ser>
        <c:ser>
          <c:idx val="12"/>
          <c:order val="12"/>
          <c:tx>
            <c:strRef>
              <c:f>Charts!$D$14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Charts!$A$14:$D$14</c15:sqref>
                  </c15:fullRef>
                  <c15:levelRef>
                    <c15:sqref>Charts!$D$14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Charts!$E$14</c:f>
              <c:numCache>
                <c:formatCode>"$"#,##0</c:formatCode>
                <c:ptCount val="1"/>
                <c:pt idx="0">
                  <c:v>6000050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CCE4-425E-BEF1-9B369E2E5B03}"/>
            </c:ext>
          </c:extLst>
        </c:ser>
        <c:ser>
          <c:idx val="13"/>
          <c:order val="13"/>
          <c:tx>
            <c:strRef>
              <c:f>Charts!$D$15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Charts!$A$15:$D$15</c15:sqref>
                  </c15:fullRef>
                  <c15:levelRef>
                    <c15:sqref>Charts!$D$15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Charts!$E$15</c:f>
              <c:numCache>
                <c:formatCode>"$"#,##0</c:formatCode>
                <c:ptCount val="1"/>
                <c:pt idx="0">
                  <c:v>220100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CCE4-425E-BEF1-9B369E2E5B03}"/>
            </c:ext>
          </c:extLst>
        </c:ser>
        <c:ser>
          <c:idx val="14"/>
          <c:order val="14"/>
          <c:tx>
            <c:strRef>
              <c:f>Charts!$D$16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Charts!$A$16:$D$16</c15:sqref>
                  </c15:fullRef>
                  <c15:levelRef>
                    <c15:sqref>Charts!$D$16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Charts!$E$16</c:f>
              <c:numCache>
                <c:formatCode>"$"#,##0</c:formatCode>
                <c:ptCount val="1"/>
                <c:pt idx="0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CE4-425E-BEF1-9B369E2E5B03}"/>
            </c:ext>
          </c:extLst>
        </c:ser>
        <c:ser>
          <c:idx val="15"/>
          <c:order val="15"/>
          <c:tx>
            <c:strRef>
              <c:f>Charts!$D$17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Charts!$A$17:$D$17</c15:sqref>
                  </c15:fullRef>
                  <c15:levelRef>
                    <c15:sqref>Charts!$D$17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Charts!$E$17</c:f>
              <c:numCache>
                <c:formatCode>"$"#,##0</c:formatCode>
                <c:ptCount val="1"/>
                <c:pt idx="0">
                  <c:v>87000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CCE4-425E-BEF1-9B369E2E5B03}"/>
            </c:ext>
          </c:extLst>
        </c:ser>
        <c:ser>
          <c:idx val="16"/>
          <c:order val="16"/>
          <c:tx>
            <c:strRef>
              <c:f>Charts!$D$18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Charts!$A$18:$D$18</c15:sqref>
                  </c15:fullRef>
                  <c15:levelRef>
                    <c15:sqref>Charts!$D$18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Charts!$E$18</c:f>
              <c:numCache>
                <c:formatCode>"$"#,##0</c:formatCode>
                <c:ptCount val="1"/>
                <c:pt idx="0">
                  <c:v>930000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CCE4-425E-BEF1-9B369E2E5B03}"/>
            </c:ext>
          </c:extLst>
        </c:ser>
        <c:ser>
          <c:idx val="17"/>
          <c:order val="17"/>
          <c:tx>
            <c:strRef>
              <c:f>Charts!$D$19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Charts!$A$19:$D$19</c15:sqref>
                  </c15:fullRef>
                  <c15:levelRef>
                    <c15:sqref>Charts!$D$19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Charts!$E$19</c:f>
              <c:numCache>
                <c:formatCode>"$"#,##0</c:formatCode>
                <c:ptCount val="1"/>
                <c:pt idx="0">
                  <c:v>7900000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CCE4-425E-BEF1-9B369E2E5B03}"/>
            </c:ext>
          </c:extLst>
        </c:ser>
        <c:ser>
          <c:idx val="18"/>
          <c:order val="18"/>
          <c:tx>
            <c:strRef>
              <c:f>Charts!$D$20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Charts!$A$20:$D$20</c15:sqref>
                  </c15:fullRef>
                  <c15:levelRef>
                    <c15:sqref>Charts!$D$20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Charts!$E$20</c:f>
              <c:numCache>
                <c:formatCode>"$"#,##0</c:formatCode>
                <c:ptCount val="1"/>
                <c:pt idx="0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CCE4-425E-BEF1-9B369E2E5B03}"/>
            </c:ext>
          </c:extLst>
        </c:ser>
        <c:ser>
          <c:idx val="19"/>
          <c:order val="19"/>
          <c:tx>
            <c:strRef>
              <c:f>Charts!$D$21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Charts!$A$21:$D$21</c15:sqref>
                  </c15:fullRef>
                  <c15:levelRef>
                    <c15:sqref>Charts!$D$21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Charts!$E$21</c:f>
              <c:numCache>
                <c:formatCode>"$"#,##0</c:formatCode>
                <c:ptCount val="1"/>
                <c:pt idx="0">
                  <c:v>330000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CCE4-425E-BEF1-9B369E2E5B03}"/>
            </c:ext>
          </c:extLst>
        </c:ser>
        <c:ser>
          <c:idx val="20"/>
          <c:order val="20"/>
          <c:tx>
            <c:strRef>
              <c:f>Charts!$D$22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Charts!$A$22:$D$22</c15:sqref>
                  </c15:fullRef>
                  <c15:levelRef>
                    <c15:sqref>Charts!$D$22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Charts!$E$22</c:f>
              <c:numCache>
                <c:formatCode>"$"#,##0</c:formatCode>
                <c:ptCount val="1"/>
                <c:pt idx="0">
                  <c:v>6570000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CCE4-425E-BEF1-9B369E2E5B03}"/>
            </c:ext>
          </c:extLst>
        </c:ser>
        <c:ser>
          <c:idx val="21"/>
          <c:order val="21"/>
          <c:tx>
            <c:strRef>
              <c:f>Charts!$D$23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Charts!$A$23:$D$23</c15:sqref>
                  </c15:fullRef>
                  <c15:levelRef>
                    <c15:sqref>Charts!$D$23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Charts!$E$23</c:f>
              <c:numCache>
                <c:formatCode>"$"#,##0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CCE4-425E-BEF1-9B369E2E5B03}"/>
            </c:ext>
          </c:extLst>
        </c:ser>
        <c:ser>
          <c:idx val="22"/>
          <c:order val="22"/>
          <c:tx>
            <c:strRef>
              <c:f>Charts!$D$24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Charts!$A$24:$D$24</c15:sqref>
                  </c15:fullRef>
                  <c15:levelRef>
                    <c15:sqref>Charts!$D$24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Charts!$E$24</c:f>
              <c:numCache>
                <c:formatCode>"$"#,##0</c:formatCode>
                <c:ptCount val="1"/>
                <c:pt idx="0">
                  <c:v>6845000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CCE4-425E-BEF1-9B369E2E5B03}"/>
            </c:ext>
          </c:extLst>
        </c:ser>
        <c:ser>
          <c:idx val="23"/>
          <c:order val="23"/>
          <c:tx>
            <c:strRef>
              <c:f>Charts!$D$25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Charts!$A$25:$D$25</c15:sqref>
                  </c15:fullRef>
                  <c15:levelRef>
                    <c15:sqref>Charts!$D$25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Charts!$E$25</c:f>
              <c:numCache>
                <c:formatCode>"$"#,##0</c:formatCode>
                <c:ptCount val="1"/>
                <c:pt idx="0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CCE4-425E-BEF1-9B369E2E5B03}"/>
            </c:ext>
          </c:extLst>
        </c:ser>
        <c:ser>
          <c:idx val="24"/>
          <c:order val="24"/>
          <c:tx>
            <c:strRef>
              <c:f>Charts!$D$26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Charts!$A$26:$D$26</c15:sqref>
                  </c15:fullRef>
                  <c15:levelRef>
                    <c15:sqref>Charts!$D$26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Charts!$E$26</c:f>
              <c:numCache>
                <c:formatCode>"$"#,##0</c:formatCode>
                <c:ptCount val="1"/>
                <c:pt idx="0">
                  <c:v>8900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CE4-425E-BEF1-9B369E2E5B03}"/>
            </c:ext>
          </c:extLst>
        </c:ser>
        <c:ser>
          <c:idx val="25"/>
          <c:order val="25"/>
          <c:tx>
            <c:strRef>
              <c:f>Charts!$D$27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Charts!$A$27:$D$27</c15:sqref>
                  </c15:fullRef>
                  <c15:levelRef>
                    <c15:sqref>Charts!$D$27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Charts!$E$27</c:f>
              <c:numCache>
                <c:formatCode>"$"#,##0</c:formatCode>
                <c:ptCount val="1"/>
                <c:pt idx="0">
                  <c:v>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CCE4-425E-BEF1-9B369E2E5B03}"/>
            </c:ext>
          </c:extLst>
        </c:ser>
        <c:ser>
          <c:idx val="26"/>
          <c:order val="26"/>
          <c:tx>
            <c:strRef>
              <c:f>Charts!$D$28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Charts!$A$28:$D$28</c15:sqref>
                  </c15:fullRef>
                  <c15:levelRef>
                    <c15:sqref>Charts!$D$28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Charts!$E$28</c:f>
              <c:numCache>
                <c:formatCode>"$"#,##0</c:formatCode>
                <c:ptCount val="1"/>
                <c:pt idx="0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CCE4-425E-BEF1-9B369E2E5B03}"/>
            </c:ext>
          </c:extLst>
        </c:ser>
        <c:ser>
          <c:idx val="27"/>
          <c:order val="27"/>
          <c:tx>
            <c:strRef>
              <c:f>Charts!$D$29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Charts!$A$29:$D$29</c15:sqref>
                  </c15:fullRef>
                  <c15:levelRef>
                    <c15:sqref>Charts!$D$29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Charts!$E$29</c:f>
              <c:numCache>
                <c:formatCode>"$"#,##0</c:formatCode>
                <c:ptCount val="1"/>
                <c:pt idx="0">
                  <c:v>10000000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CCE4-425E-BEF1-9B369E2E5B03}"/>
            </c:ext>
          </c:extLst>
        </c:ser>
        <c:ser>
          <c:idx val="28"/>
          <c:order val="28"/>
          <c:tx>
            <c:strRef>
              <c:f>Charts!$D$30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Charts!$A$30:$D$30</c15:sqref>
                  </c15:fullRef>
                  <c15:levelRef>
                    <c15:sqref>Charts!$D$30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Charts!$E$30</c:f>
              <c:numCache>
                <c:formatCode>"$"#,##0</c:formatCode>
                <c:ptCount val="1"/>
                <c:pt idx="0">
                  <c:v>5000000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CCE4-425E-BEF1-9B369E2E5B03}"/>
            </c:ext>
          </c:extLst>
        </c:ser>
        <c:ser>
          <c:idx val="29"/>
          <c:order val="29"/>
          <c:tx>
            <c:strRef>
              <c:f>Charts!$D$31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Charts!$A$31:$D$31</c15:sqref>
                  </c15:fullRef>
                  <c15:levelRef>
                    <c15:sqref>Charts!$D$31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Charts!$E$31</c:f>
              <c:numCache>
                <c:formatCode>"$"#,##0</c:formatCode>
                <c:ptCount val="1"/>
                <c:pt idx="0">
                  <c:v>6100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CCE4-425E-BEF1-9B369E2E5B03}"/>
            </c:ext>
          </c:extLst>
        </c:ser>
        <c:ser>
          <c:idx val="30"/>
          <c:order val="30"/>
          <c:tx>
            <c:strRef>
              <c:f>Charts!$D$32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Charts!$A$32:$D$32</c15:sqref>
                  </c15:fullRef>
                  <c15:levelRef>
                    <c15:sqref>Charts!$D$32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Charts!$E$32</c:f>
              <c:numCache>
                <c:formatCode>"$"#,##0</c:formatCode>
                <c:ptCount val="1"/>
                <c:pt idx="0">
                  <c:v>80000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CCE4-425E-BEF1-9B369E2E5B03}"/>
            </c:ext>
          </c:extLst>
        </c:ser>
        <c:ser>
          <c:idx val="31"/>
          <c:order val="31"/>
          <c:tx>
            <c:strRef>
              <c:f>Charts!$D$33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Charts!$A$33:$D$33</c15:sqref>
                  </c15:fullRef>
                  <c15:levelRef>
                    <c15:sqref>Charts!$D$33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Charts!$E$33</c:f>
              <c:numCache>
                <c:formatCode>"$"#,##0</c:formatCode>
                <c:ptCount val="1"/>
                <c:pt idx="0">
                  <c:v>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CCE4-425E-BEF1-9B369E2E5B03}"/>
            </c:ext>
          </c:extLst>
        </c:ser>
        <c:ser>
          <c:idx val="32"/>
          <c:order val="32"/>
          <c:tx>
            <c:strRef>
              <c:f>Charts!$D$34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Charts!$A$34:$D$34</c15:sqref>
                  </c15:fullRef>
                  <c15:levelRef>
                    <c15:sqref>Charts!$D$34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Charts!$E$34</c:f>
              <c:numCache>
                <c:formatCode>"$"#,##0</c:formatCode>
                <c:ptCount val="1"/>
                <c:pt idx="0">
                  <c:v>1540000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CCE4-425E-BEF1-9B369E2E5B03}"/>
            </c:ext>
          </c:extLst>
        </c:ser>
        <c:ser>
          <c:idx val="33"/>
          <c:order val="33"/>
          <c:tx>
            <c:strRef>
              <c:f>Charts!$D$35</c:f>
              <c:strCache>
                <c:ptCount val="1"/>
                <c:pt idx="0">
                  <c:v>Female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Charts!$A$35:$D$35</c15:sqref>
                  </c15:fullRef>
                  <c15:levelRef>
                    <c15:sqref>Charts!$D$35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Charts!$E$35</c:f>
              <c:numCache>
                <c:formatCode>"$"#,##0</c:formatCode>
                <c:ptCount val="1"/>
                <c:pt idx="0">
                  <c:v>9300000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CCE4-425E-BEF1-9B369E2E5B03}"/>
            </c:ext>
          </c:extLst>
        </c:ser>
        <c:ser>
          <c:idx val="34"/>
          <c:order val="34"/>
          <c:tx>
            <c:strRef>
              <c:f>Charts!$D$36</c:f>
              <c:strCache>
                <c:ptCount val="1"/>
                <c:pt idx="0">
                  <c:v>Male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Charts!$A$36:$D$36</c15:sqref>
                  </c15:fullRef>
                  <c15:levelRef>
                    <c15:sqref>Charts!$D$36</c15:sqref>
                  </c15:levelRef>
                </c:ext>
              </c:extLst>
            </c:strRef>
          </c:tx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Charts!$E$36</c:f>
              <c:numCache>
                <c:formatCode>"$"#,##0</c:formatCode>
                <c:ptCount val="1"/>
                <c:pt idx="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CCE4-425E-BEF1-9B369E2E5B03}"/>
            </c:ext>
          </c:extLst>
        </c:ser>
        <c:gapWidth val="100"/>
        <c:overlap val="-24"/>
        <c:axId val="131823872"/>
        <c:axId val="131842048"/>
      </c:barChart>
      <c:catAx>
        <c:axId val="13182387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2048"/>
        <c:crosses val="autoZero"/>
        <c:auto val="1"/>
        <c:lblAlgn val="ctr"/>
        <c:lblOffset val="100"/>
      </c:catAx>
      <c:valAx>
        <c:axId val="13184204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accent6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</a:rPr>
              <a:t>Salary by Age</a:t>
            </a:r>
          </a:p>
        </c:rich>
      </c:tx>
      <c:layout>
        <c:manualLayout>
          <c:xMode val="edge"/>
          <c:yMode val="edge"/>
          <c:x val="0.36929155730533675"/>
          <c:y val="3.2407407407407461E-2"/>
        </c:manualLayout>
      </c:layout>
      <c:spPr>
        <a:noFill/>
        <a:ln>
          <a:noFill/>
        </a:ln>
        <a:effectLst/>
      </c:spPr>
    </c:title>
    <c:plotArea>
      <c:layout/>
      <c:pieChart>
        <c:varyColors val="1"/>
        <c:ser>
          <c:idx val="0"/>
          <c:order val="0"/>
          <c:tx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tx>
          <c:spPr>
            <a:ln>
              <a:solidFill>
                <a:schemeClr val="accent1">
                  <a:alpha val="70000"/>
                </a:schemeClr>
              </a:solidFill>
            </a:ln>
          </c:spPr>
          <c:dP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41-4347-B27C-AB006D1911B3}"/>
              </c:ext>
            </c:extLst>
          </c:dPt>
          <c:dP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241-4347-B27C-AB006D1911B3}"/>
              </c:ext>
            </c:extLst>
          </c:dPt>
          <c:dP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241-4347-B27C-AB006D1911B3}"/>
              </c:ext>
            </c:extLst>
          </c:dPt>
          <c:dP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241-4347-B27C-AB006D1911B3}"/>
              </c:ext>
            </c:extLst>
          </c:dPt>
          <c:dP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241-4347-B27C-AB006D1911B3}"/>
              </c:ext>
            </c:extLst>
          </c:dPt>
          <c:dP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241-4347-B27C-AB006D1911B3}"/>
              </c:ext>
            </c:extLst>
          </c:dPt>
          <c:dP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241-4347-B27C-AB006D1911B3}"/>
              </c:ext>
            </c:extLst>
          </c:dPt>
          <c:dP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241-4347-B27C-AB006D1911B3}"/>
              </c:ext>
            </c:extLst>
          </c:dPt>
          <c:dP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241-4347-B27C-AB006D1911B3}"/>
              </c:ext>
            </c:extLst>
          </c:dPt>
          <c:dP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241-4347-B27C-AB006D1911B3}"/>
              </c:ext>
            </c:extLst>
          </c:dPt>
          <c:dP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241-4347-B27C-AB006D1911B3}"/>
              </c:ext>
            </c:extLst>
          </c:dPt>
          <c:dP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241-4347-B27C-AB006D1911B3}"/>
              </c:ext>
            </c:extLst>
          </c:dPt>
          <c:dP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B241-4347-B27C-AB006D1911B3}"/>
              </c:ext>
            </c:extLst>
          </c:dPt>
          <c:dP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B241-4347-B27C-AB006D1911B3}"/>
              </c:ext>
            </c:extLst>
          </c:dPt>
          <c:dP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B241-4347-B27C-AB006D1911B3}"/>
              </c:ext>
            </c:extLst>
          </c:dPt>
          <c:dP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B241-4347-B27C-AB006D1911B3}"/>
              </c:ext>
            </c:extLst>
          </c:dPt>
          <c:dP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B241-4347-B27C-AB006D1911B3}"/>
              </c:ext>
            </c:extLst>
          </c:dPt>
          <c:dP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B241-4347-B27C-AB006D1911B3}"/>
              </c:ext>
            </c:extLst>
          </c:dPt>
          <c:dPt>
            <c:idx val="18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B241-4347-B27C-AB006D1911B3}"/>
              </c:ext>
            </c:extLst>
          </c:dPt>
          <c:dPt>
            <c:idx val="19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B241-4347-B27C-AB006D1911B3}"/>
              </c:ext>
            </c:extLst>
          </c:dPt>
          <c:dPt>
            <c:idx val="2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B241-4347-B27C-AB006D1911B3}"/>
              </c:ext>
            </c:extLst>
          </c:dPt>
          <c:dPt>
            <c:idx val="21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B241-4347-B27C-AB006D1911B3}"/>
              </c:ext>
            </c:extLst>
          </c:dPt>
          <c:dPt>
            <c:idx val="22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B241-4347-B27C-AB006D1911B3}"/>
              </c:ext>
            </c:extLst>
          </c:dPt>
          <c:dPt>
            <c:idx val="23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B241-4347-B27C-AB006D1911B3}"/>
              </c:ext>
            </c:extLst>
          </c:dPt>
          <c:dPt>
            <c:idx val="24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B241-4347-B27C-AB006D1911B3}"/>
              </c:ext>
            </c:extLst>
          </c:dPt>
          <c:dPt>
            <c:idx val="25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B241-4347-B27C-AB006D1911B3}"/>
              </c:ext>
            </c:extLst>
          </c:dPt>
          <c:dPt>
            <c:idx val="26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B241-4347-B27C-AB006D1911B3}"/>
              </c:ext>
            </c:extLst>
          </c:dPt>
          <c:dPt>
            <c:idx val="27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B241-4347-B27C-AB006D1911B3}"/>
              </c:ext>
            </c:extLst>
          </c:dPt>
          <c:dPt>
            <c:idx val="28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B241-4347-B27C-AB006D1911B3}"/>
              </c:ext>
            </c:extLst>
          </c:dPt>
          <c:dPt>
            <c:idx val="29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B241-4347-B27C-AB006D1911B3}"/>
              </c:ext>
            </c:extLst>
          </c:dPt>
          <c:dPt>
            <c:idx val="3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B241-4347-B27C-AB006D1911B3}"/>
              </c:ext>
            </c:extLst>
          </c:dPt>
          <c:dPt>
            <c:idx val="31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B241-4347-B27C-AB006D1911B3}"/>
              </c:ext>
            </c:extLst>
          </c:dPt>
          <c:dPt>
            <c:idx val="32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B241-4347-B27C-AB006D1911B3}"/>
              </c:ext>
            </c:extLst>
          </c:dPt>
          <c:dPt>
            <c:idx val="33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B241-4347-B27C-AB006D1911B3}"/>
              </c:ext>
            </c:extLst>
          </c:dPt>
          <c:dPt>
            <c:idx val="34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accent1">
                    <a:alpha val="7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B241-4347-B27C-AB006D1911B3}"/>
              </c:ext>
            </c:extLst>
          </c:dPt>
          <c:cat>
            <c:numRef>
              <c:f>Charts!$C$2:$C$36</c:f>
              <c:numCache>
                <c:formatCode>General</c:formatCode>
                <c:ptCount val="35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cat>
          <c:val>
            <c:numRef>
              <c:f>Charts!$E$2:$E$36</c:f>
              <c:numCache>
                <c:formatCode>"$"#,##0</c:formatCode>
                <c:ptCount val="35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D9-4932-A97C-3FAD3CC1F5DC}"/>
            </c:ext>
          </c:extLst>
        </c:ser>
        <c:firstSliceAng val="0"/>
      </c:pieChart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Salary by Experience</a:t>
            </a:r>
          </a:p>
        </c:rich>
      </c:tx>
      <c:layout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1399516399032798"/>
          <c:y val="0.15329957937980221"/>
          <c:w val="0.83640647281294556"/>
          <c:h val="0.72888923196005362"/>
        </c:manualLayout>
      </c:layout>
      <c:lineChart>
        <c:grouping val="standard"/>
        <c:ser>
          <c:idx val="0"/>
          <c:order val="0"/>
          <c:tx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Charts!$B$2:$B$36</c:f>
              <c:numCache>
                <c:formatCode>General</c:formatCode>
                <c:ptCount val="3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25</c:v>
                </c:pt>
                <c:pt idx="6">
                  <c:v>19</c:v>
                </c:pt>
                <c:pt idx="7">
                  <c:v>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11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10</c:v>
                </c:pt>
                <c:pt idx="20">
                  <c:v>15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27</c:v>
                </c:pt>
                <c:pt idx="28">
                  <c:v>19</c:v>
                </c:pt>
                <c:pt idx="29">
                  <c:v>2</c:v>
                </c:pt>
                <c:pt idx="30">
                  <c:v>10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16</c:v>
                </c:pt>
              </c:numCache>
            </c:numRef>
          </c:cat>
          <c:val>
            <c:numRef>
              <c:f>Charts!$E$2:$E$36</c:f>
              <c:numCache>
                <c:formatCode>"$"#,##0</c:formatCode>
                <c:ptCount val="35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11-4F4E-BC67-70388D008D6B}"/>
            </c:ext>
          </c:extLst>
        </c:ser>
        <c:marker val="1"/>
        <c:axId val="131969024"/>
        <c:axId val="131970560"/>
      </c:lineChart>
      <c:catAx>
        <c:axId val="1319690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0560"/>
        <c:crosses val="autoZero"/>
        <c:auto val="1"/>
        <c:lblAlgn val="ctr"/>
        <c:lblOffset val="100"/>
      </c:catAx>
      <c:valAx>
        <c:axId val="131970560"/>
        <c:scaling>
          <c:orientation val="minMax"/>
        </c:scaling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33337</xdr:rowOff>
    </xdr:from>
    <xdr:to>
      <xdr:col>11</xdr:col>
      <xdr:colOff>123825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C3431E8-12DB-20D2-1122-EC3B26E3D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838200</xdr:colOff>
      <xdr:row>40</xdr:row>
      <xdr:rowOff>23812</xdr:rowOff>
    </xdr:from>
    <xdr:to>
      <xdr:col>11</xdr:col>
      <xdr:colOff>66675</xdr:colOff>
      <xdr:row>54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3A83DA12-79B8-5420-842B-44C0B253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31750</xdr:rowOff>
    </xdr:from>
    <xdr:to>
      <xdr:col>10</xdr:col>
      <xdr:colOff>9525</xdr:colOff>
      <xdr:row>14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1DD7FA-B537-4D82-B882-3481FBB67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196850</xdr:colOff>
      <xdr:row>14</xdr:row>
      <xdr:rowOff>139700</xdr:rowOff>
    </xdr:from>
    <xdr:to>
      <xdr:col>10</xdr:col>
      <xdr:colOff>206375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3A2F9E95-59D9-47B7-A354-4616134B4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</xdr:row>
      <xdr:rowOff>4761</xdr:rowOff>
    </xdr:from>
    <xdr:to>
      <xdr:col>14</xdr:col>
      <xdr:colOff>600074</xdr:colOff>
      <xdr:row>15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86F5187A-9C29-1805-DC54-5AE35EFD8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19</xdr:row>
      <xdr:rowOff>23812</xdr:rowOff>
    </xdr:from>
    <xdr:to>
      <xdr:col>14</xdr:col>
      <xdr:colOff>590549</xdr:colOff>
      <xdr:row>33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7F21BB93-9D7F-E50D-5ACE-B62D48117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11</xdr:row>
      <xdr:rowOff>23811</xdr:rowOff>
    </xdr:from>
    <xdr:to>
      <xdr:col>23</xdr:col>
      <xdr:colOff>581025</xdr:colOff>
      <xdr:row>25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AF167BA7-7875-7FE9-517C-A973D3978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97.191198495369" createdVersion="8" refreshedVersion="8" minRefreshableVersion="3" recordCount="35">
  <cacheSource type="worksheet">
    <worksheetSource ref="A1:E36" sheet="Formulas"/>
  </cacheSource>
  <cacheFields count="5">
    <cacheField name="ID" numFmtId="0">
      <sharedItems containsSemiMixedTypes="0" containsString="0" containsNumber="1" containsInteger="1" minValue="1" maxValue="35"/>
    </cacheField>
    <cacheField name="Experience_Years" numFmtId="0">
      <sharedItems containsSemiMixedTypes="0" containsString="0" containsNumber="1" containsInteger="1" minValue="1" maxValue="27" count="15">
        <n v="5"/>
        <n v="1"/>
        <n v="3"/>
        <n v="2"/>
        <n v="25"/>
        <n v="19"/>
        <n v="10"/>
        <n v="15"/>
        <n v="4"/>
        <n v="6"/>
        <n v="14"/>
        <n v="11"/>
        <n v="27"/>
        <n v="20"/>
        <n v="16"/>
      </sharedItems>
    </cacheField>
    <cacheField name="Age" numFmtId="0">
      <sharedItems containsSemiMixedTypes="0" containsString="0" containsNumber="1" containsInteger="1" minValue="17" maxValue="62" count="18">
        <n v="28"/>
        <n v="21"/>
        <n v="23"/>
        <n v="22"/>
        <n v="17"/>
        <n v="62"/>
        <n v="54"/>
        <n v="36"/>
        <n v="26"/>
        <n v="29"/>
        <n v="39"/>
        <n v="40"/>
        <n v="27"/>
        <n v="34"/>
        <n v="18"/>
        <n v="55"/>
        <n v="53"/>
        <n v="49"/>
      </sharedItems>
    </cacheField>
    <cacheField name="Gender" numFmtId="0">
      <sharedItems count="2">
        <s v="Female"/>
        <s v="Male"/>
      </sharedItems>
    </cacheField>
    <cacheField name="Salary" numFmtId="165">
      <sharedItems containsSemiMixedTypes="0" containsString="0" containsNumber="1" containsInteger="1" minValue="3000" maxValue="10000000" count="33">
        <n v="250000"/>
        <n v="50000"/>
        <n v="170000"/>
        <n v="25000"/>
        <n v="10000"/>
        <n v="5001000"/>
        <n v="800000"/>
        <n v="9000"/>
        <n v="61500"/>
        <n v="650000"/>
        <n v="1400000"/>
        <n v="6000050"/>
        <n v="220100"/>
        <n v="7500"/>
        <n v="87000"/>
        <n v="930000"/>
        <n v="7900000"/>
        <n v="15000"/>
        <n v="330000"/>
        <n v="6570000"/>
        <n v="6845000"/>
        <n v="6000"/>
        <n v="8900"/>
        <n v="20000"/>
        <n v="3000"/>
        <n v="10000000"/>
        <n v="5000000"/>
        <n v="6100"/>
        <n v="80000"/>
        <n v="900000"/>
        <n v="1540000"/>
        <n v="9300000"/>
        <n v="7600000"/>
      </sharedItems>
    </cacheField>
  </cacheFields>
  <extLst>
    <ext xmlns:x14="http://schemas.microsoft.com/office/spreadsheetml/2009/9/main" uri="{725AE2AE-9491-48be-B2B4-4EB974FC3084}">
      <x14:pivotCacheDefinition pivotCacheId="5584198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x v="0"/>
    <x v="0"/>
    <x v="0"/>
  </r>
  <r>
    <n v="2"/>
    <x v="1"/>
    <x v="1"/>
    <x v="1"/>
    <x v="1"/>
  </r>
  <r>
    <n v="3"/>
    <x v="2"/>
    <x v="2"/>
    <x v="0"/>
    <x v="2"/>
  </r>
  <r>
    <n v="4"/>
    <x v="3"/>
    <x v="3"/>
    <x v="1"/>
    <x v="3"/>
  </r>
  <r>
    <n v="5"/>
    <x v="1"/>
    <x v="4"/>
    <x v="1"/>
    <x v="4"/>
  </r>
  <r>
    <n v="6"/>
    <x v="4"/>
    <x v="5"/>
    <x v="1"/>
    <x v="5"/>
  </r>
  <r>
    <n v="7"/>
    <x v="5"/>
    <x v="6"/>
    <x v="0"/>
    <x v="6"/>
  </r>
  <r>
    <n v="8"/>
    <x v="3"/>
    <x v="1"/>
    <x v="0"/>
    <x v="7"/>
  </r>
  <r>
    <n v="9"/>
    <x v="6"/>
    <x v="7"/>
    <x v="0"/>
    <x v="8"/>
  </r>
  <r>
    <n v="10"/>
    <x v="7"/>
    <x v="6"/>
    <x v="0"/>
    <x v="9"/>
  </r>
  <r>
    <n v="11"/>
    <x v="8"/>
    <x v="8"/>
    <x v="0"/>
    <x v="0"/>
  </r>
  <r>
    <n v="12"/>
    <x v="9"/>
    <x v="9"/>
    <x v="1"/>
    <x v="10"/>
  </r>
  <r>
    <n v="13"/>
    <x v="10"/>
    <x v="10"/>
    <x v="1"/>
    <x v="11"/>
  </r>
  <r>
    <n v="14"/>
    <x v="11"/>
    <x v="11"/>
    <x v="1"/>
    <x v="12"/>
  </r>
  <r>
    <n v="15"/>
    <x v="3"/>
    <x v="2"/>
    <x v="1"/>
    <x v="13"/>
  </r>
  <r>
    <n v="16"/>
    <x v="8"/>
    <x v="12"/>
    <x v="0"/>
    <x v="14"/>
  </r>
  <r>
    <n v="17"/>
    <x v="6"/>
    <x v="13"/>
    <x v="0"/>
    <x v="15"/>
  </r>
  <r>
    <n v="18"/>
    <x v="7"/>
    <x v="6"/>
    <x v="0"/>
    <x v="16"/>
  </r>
  <r>
    <n v="19"/>
    <x v="3"/>
    <x v="1"/>
    <x v="1"/>
    <x v="17"/>
  </r>
  <r>
    <n v="20"/>
    <x v="6"/>
    <x v="7"/>
    <x v="1"/>
    <x v="18"/>
  </r>
  <r>
    <n v="21"/>
    <x v="7"/>
    <x v="6"/>
    <x v="1"/>
    <x v="19"/>
  </r>
  <r>
    <n v="22"/>
    <x v="8"/>
    <x v="8"/>
    <x v="1"/>
    <x v="3"/>
  </r>
  <r>
    <n v="23"/>
    <x v="0"/>
    <x v="9"/>
    <x v="1"/>
    <x v="20"/>
  </r>
  <r>
    <n v="24"/>
    <x v="1"/>
    <x v="1"/>
    <x v="0"/>
    <x v="21"/>
  </r>
  <r>
    <n v="25"/>
    <x v="8"/>
    <x v="2"/>
    <x v="0"/>
    <x v="22"/>
  </r>
  <r>
    <n v="26"/>
    <x v="2"/>
    <x v="3"/>
    <x v="0"/>
    <x v="23"/>
  </r>
  <r>
    <n v="27"/>
    <x v="1"/>
    <x v="14"/>
    <x v="1"/>
    <x v="24"/>
  </r>
  <r>
    <n v="28"/>
    <x v="12"/>
    <x v="5"/>
    <x v="0"/>
    <x v="25"/>
  </r>
  <r>
    <n v="29"/>
    <x v="5"/>
    <x v="6"/>
    <x v="0"/>
    <x v="26"/>
  </r>
  <r>
    <n v="30"/>
    <x v="3"/>
    <x v="1"/>
    <x v="0"/>
    <x v="27"/>
  </r>
  <r>
    <n v="31"/>
    <x v="6"/>
    <x v="13"/>
    <x v="1"/>
    <x v="28"/>
  </r>
  <r>
    <n v="32"/>
    <x v="7"/>
    <x v="6"/>
    <x v="1"/>
    <x v="29"/>
  </r>
  <r>
    <n v="33"/>
    <x v="13"/>
    <x v="15"/>
    <x v="0"/>
    <x v="30"/>
  </r>
  <r>
    <n v="34"/>
    <x v="5"/>
    <x v="16"/>
    <x v="0"/>
    <x v="31"/>
  </r>
  <r>
    <n v="35"/>
    <x v="14"/>
    <x v="17"/>
    <x v="1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3:B62" firstHeaderRow="1" firstDataRow="1" firstDataCol="1"/>
  <pivotFields count="5">
    <pivotField showAll="0"/>
    <pivotField showAll="0">
      <items count="16">
        <item x="1"/>
        <item x="3"/>
        <item x="2"/>
        <item x="8"/>
        <item x="0"/>
        <item x="9"/>
        <item x="6"/>
        <item x="11"/>
        <item x="10"/>
        <item x="7"/>
        <item x="14"/>
        <item x="5"/>
        <item x="13"/>
        <item x="4"/>
        <item x="12"/>
        <item t="default"/>
      </items>
    </pivotField>
    <pivotField axis="axisRow" showAll="0" sortType="ascending">
      <items count="19">
        <item x="4"/>
        <item x="14"/>
        <item x="1"/>
        <item x="3"/>
        <item x="2"/>
        <item x="8"/>
        <item x="12"/>
        <item x="0"/>
        <item x="9"/>
        <item x="13"/>
        <item x="7"/>
        <item x="10"/>
        <item x="11"/>
        <item x="17"/>
        <item x="16"/>
        <item x="6"/>
        <item x="15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dataField="1" numFmtId="165" showAll="0"/>
  </pivotFields>
  <rowFields count="2">
    <field x="3"/>
    <field x="2"/>
  </rowFields>
  <rowItems count="29">
    <i>
      <x/>
    </i>
    <i r="1">
      <x v="3"/>
    </i>
    <i r="1">
      <x v="2"/>
    </i>
    <i r="1">
      <x v="10"/>
    </i>
    <i r="1">
      <x v="6"/>
    </i>
    <i r="1">
      <x v="4"/>
    </i>
    <i r="1">
      <x v="7"/>
    </i>
    <i r="1">
      <x v="5"/>
    </i>
    <i r="1">
      <x v="9"/>
    </i>
    <i r="1">
      <x v="16"/>
    </i>
    <i r="1">
      <x v="14"/>
    </i>
    <i r="1">
      <x v="17"/>
    </i>
    <i r="1">
      <x v="15"/>
    </i>
    <i>
      <x v="1"/>
    </i>
    <i r="1">
      <x v="1"/>
    </i>
    <i r="1">
      <x v="4"/>
    </i>
    <i r="1">
      <x/>
    </i>
    <i r="1">
      <x v="5"/>
    </i>
    <i r="1">
      <x v="3"/>
    </i>
    <i r="1">
      <x v="2"/>
    </i>
    <i r="1">
      <x v="9"/>
    </i>
    <i r="1">
      <x v="12"/>
    </i>
    <i r="1">
      <x v="10"/>
    </i>
    <i r="1">
      <x v="17"/>
    </i>
    <i r="1">
      <x v="11"/>
    </i>
    <i r="1">
      <x v="15"/>
    </i>
    <i r="1">
      <x v="13"/>
    </i>
    <i r="1">
      <x v="8"/>
    </i>
    <i t="grand">
      <x/>
    </i>
  </rowItems>
  <colItems count="1">
    <i/>
  </colItems>
  <dataFields count="1">
    <dataField name="Sum of Salary by Age" fld="4" baseField="2" baseItem="14" numFmtId="165"/>
  </dataFields>
  <formats count="5"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3" count="1">
            <x v="0"/>
          </reference>
        </references>
      </pivotArea>
    </format>
    <format dxfId="1">
      <pivotArea dataOnly="0" fieldPosition="0">
        <references count="1">
          <reference field="2" count="12">
            <x v="2"/>
            <x v="3"/>
            <x v="4"/>
            <x v="5"/>
            <x v="6"/>
            <x v="7"/>
            <x v="9"/>
            <x v="10"/>
            <x v="14"/>
            <x v="15"/>
            <x v="16"/>
            <x v="17"/>
          </reference>
        </references>
      </pivotArea>
    </format>
    <format dxfId="0">
      <pivotArea dataOnly="0" fieldPosition="0">
        <references count="1">
          <reference field="2" count="13">
            <x v="0"/>
            <x v="1"/>
            <x v="2"/>
            <x v="3"/>
            <x v="4"/>
            <x v="5"/>
            <x v="9"/>
            <x v="10"/>
            <x v="11"/>
            <x v="12"/>
            <x v="13"/>
            <x v="15"/>
            <x v="17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7" firstHeaderRow="1" firstDataRow="1" firstDataCol="1"/>
  <pivotFields count="5">
    <pivotField showAll="0"/>
    <pivotField axis="axisRow" showAll="0" sortType="ascending">
      <items count="16">
        <item x="1"/>
        <item x="3"/>
        <item x="2"/>
        <item x="8"/>
        <item x="0"/>
        <item x="9"/>
        <item x="6"/>
        <item x="11"/>
        <item x="10"/>
        <item x="7"/>
        <item x="14"/>
        <item x="5"/>
        <item x="13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4"/>
        <item x="14"/>
        <item x="1"/>
        <item x="3"/>
        <item x="2"/>
        <item x="8"/>
        <item x="12"/>
        <item x="0"/>
        <item x="9"/>
        <item x="13"/>
        <item x="7"/>
        <item x="10"/>
        <item x="11"/>
        <item x="17"/>
        <item x="16"/>
        <item x="6"/>
        <item x="15"/>
        <item x="5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>
      <items count="34">
        <item x="24"/>
        <item x="21"/>
        <item x="27"/>
        <item x="13"/>
        <item x="22"/>
        <item x="7"/>
        <item x="4"/>
        <item x="17"/>
        <item x="23"/>
        <item x="3"/>
        <item x="1"/>
        <item x="8"/>
        <item x="28"/>
        <item x="14"/>
        <item x="2"/>
        <item x="12"/>
        <item x="0"/>
        <item x="18"/>
        <item x="9"/>
        <item x="6"/>
        <item x="29"/>
        <item x="15"/>
        <item x="10"/>
        <item x="30"/>
        <item x="26"/>
        <item x="5"/>
        <item x="11"/>
        <item x="19"/>
        <item x="20"/>
        <item x="32"/>
        <item x="16"/>
        <item x="31"/>
        <item x="25"/>
        <item t="default"/>
      </items>
    </pivotField>
  </pivotFields>
  <rowFields count="2">
    <field x="3"/>
    <field x="1"/>
  </rowFields>
  <rowItems count="24">
    <i>
      <x/>
    </i>
    <i r="1">
      <x/>
    </i>
    <i r="1">
      <x v="1"/>
    </i>
    <i r="1">
      <x v="2"/>
    </i>
    <i r="1">
      <x v="4"/>
    </i>
    <i r="1">
      <x v="3"/>
    </i>
    <i r="1">
      <x v="6"/>
    </i>
    <i r="1">
      <x v="12"/>
    </i>
    <i r="1">
      <x v="9"/>
    </i>
    <i r="1">
      <x v="14"/>
    </i>
    <i r="1">
      <x v="11"/>
    </i>
    <i>
      <x v="1"/>
    </i>
    <i r="1">
      <x v="3"/>
    </i>
    <i r="1">
      <x v="1"/>
    </i>
    <i r="1">
      <x/>
    </i>
    <i r="1">
      <x v="7"/>
    </i>
    <i r="1">
      <x v="6"/>
    </i>
    <i r="1">
      <x v="5"/>
    </i>
    <i r="1">
      <x v="13"/>
    </i>
    <i r="1">
      <x v="8"/>
    </i>
    <i r="1">
      <x v="4"/>
    </i>
    <i r="1">
      <x v="9"/>
    </i>
    <i r="1">
      <x v="10"/>
    </i>
    <i t="grand">
      <x/>
    </i>
  </rowItems>
  <colItems count="1">
    <i/>
  </colItems>
  <dataFields count="1">
    <dataField name="Sum of Salary by Experience" fld="4" baseField="3" baseItem="1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7FDDAE0E-36C9-40DF-B677-C9CB5BE9224A}" sourceName="Gender">
  <pivotTables>
    <pivotTable tabId="11" name="PivotTable1"/>
    <pivotTable tabId="11" name="PivotTable2"/>
  </pivotTables>
  <data>
    <tabular pivotCacheId="55841988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xperience_Years" xr10:uid="{85F0AADD-CE60-4C8D-A0E8-6573BB1775BE}" sourceName="Experience_Years">
  <pivotTables>
    <pivotTable tabId="11" name="PivotTable1"/>
    <pivotTable tabId="11" name="PivotTable2"/>
  </pivotTables>
  <data>
    <tabular pivotCacheId="558419885">
      <items count="15">
        <i x="1" s="1"/>
        <i x="3" s="1"/>
        <i x="2" s="1"/>
        <i x="8" s="1"/>
        <i x="0" s="1"/>
        <i x="9" s="1"/>
        <i x="6" s="1"/>
        <i x="11" s="1"/>
        <i x="10" s="1"/>
        <i x="7" s="1"/>
        <i x="14" s="1"/>
        <i x="5" s="1"/>
        <i x="13" s="1"/>
        <i x="4" s="1"/>
        <i x="1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246C2081-357C-405A-A8E7-0BD67AB94817}" sourceName="Age">
  <pivotTables>
    <pivotTable tabId="11" name="PivotTable1"/>
    <pivotTable tabId="11" name="PivotTable2"/>
  </pivotTables>
  <data>
    <tabular pivotCacheId="558419885">
      <items count="18">
        <i x="4" s="1"/>
        <i x="14" s="1"/>
        <i x="1" s="1"/>
        <i x="3" s="1"/>
        <i x="2" s="1"/>
        <i x="8" s="1"/>
        <i x="12" s="1"/>
        <i x="0" s="1"/>
        <i x="9" s="1"/>
        <i x="13" s="1"/>
        <i x="7" s="1"/>
        <i x="10" s="1"/>
        <i x="11" s="1"/>
        <i x="17" s="1"/>
        <i x="16" s="1"/>
        <i x="6" s="1"/>
        <i x="15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F777505E-687C-4A3F-B61C-13F6DEE7FACF}" cache="Slicer_Gender" caption="Gender" rowHeight="241300"/>
  <slicer name="Experience_Years" xr10:uid="{6E7D9695-A169-4035-BA17-321BD61F715D}" cache="Slicer_Experience_Years" caption="Experience_Years" rowHeight="241300"/>
  <slicer name="Age" xr10:uid="{D87FA80F-83FF-4B3A-971D-AA9DC459A70A}" cache="Slicer_Age" caption="Age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workbookViewId="0">
      <selection activeCell="L15" sqref="L15"/>
    </sheetView>
  </sheetViews>
  <sheetFormatPr defaultRowHeight="14.5"/>
  <cols>
    <col min="2" max="2" width="10.26953125" customWidth="1"/>
    <col min="5" max="5" width="15.26953125" bestFit="1" customWidth="1"/>
    <col min="7" max="7" width="12.453125" bestFit="1" customWidth="1"/>
    <col min="11" max="11" width="12" bestFit="1" customWidth="1"/>
    <col min="12" max="12" width="12.1796875" bestFit="1" customWidth="1"/>
    <col min="13" max="13" width="11.7265625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</row>
    <row r="2" spans="1:13">
      <c r="A2" s="7">
        <v>1</v>
      </c>
      <c r="B2" s="7">
        <v>5</v>
      </c>
      <c r="C2" s="7">
        <v>28</v>
      </c>
      <c r="D2" s="7" t="s">
        <v>5</v>
      </c>
      <c r="E2" s="8">
        <v>250000</v>
      </c>
      <c r="F2" s="7"/>
      <c r="G2" s="7" t="str">
        <f>IF(C2:C36&gt;50,E2:E36,"Not Matched")</f>
        <v>Not Matched</v>
      </c>
      <c r="H2">
        <f>COUNTIF(E2:E36,"&gt;50000")</f>
        <v>23</v>
      </c>
      <c r="I2">
        <f>SUMIF(E2:E36,"&lt;50000")</f>
        <v>135500</v>
      </c>
      <c r="J2">
        <f>VLOOKUP(A24,A2:E36,5,FALSE)</f>
        <v>6845000</v>
      </c>
      <c r="K2">
        <f>AVERAGE(E2:E36)</f>
        <v>2059147.142857143</v>
      </c>
      <c r="L2">
        <f>MAX(E2:E36)</f>
        <v>10000000</v>
      </c>
      <c r="M2">
        <f>MIN(E2:E36)</f>
        <v>3000</v>
      </c>
    </row>
    <row r="3" spans="1:13">
      <c r="A3" s="7">
        <v>2</v>
      </c>
      <c r="B3" s="7">
        <v>1</v>
      </c>
      <c r="C3" s="7">
        <v>21</v>
      </c>
      <c r="D3" s="7" t="s">
        <v>6</v>
      </c>
      <c r="E3" s="8">
        <v>50000</v>
      </c>
      <c r="F3" s="7"/>
      <c r="G3" s="7" t="str">
        <f t="shared" ref="G3:G36" si="0">IF(C3:C37&gt;50,E3:E37,"Not Matched")</f>
        <v>Not Matched</v>
      </c>
    </row>
    <row r="4" spans="1:13">
      <c r="A4" s="7">
        <v>3</v>
      </c>
      <c r="B4" s="7">
        <v>3</v>
      </c>
      <c r="C4" s="7">
        <v>23</v>
      </c>
      <c r="D4" s="7" t="s">
        <v>5</v>
      </c>
      <c r="E4" s="8">
        <v>170000</v>
      </c>
      <c r="F4" s="7"/>
      <c r="G4" s="7" t="str">
        <f t="shared" si="0"/>
        <v>Not Matched</v>
      </c>
      <c r="K4" s="6" t="s">
        <v>14</v>
      </c>
      <c r="L4" s="6" t="s">
        <v>15</v>
      </c>
      <c r="M4" s="6" t="s">
        <v>16</v>
      </c>
    </row>
    <row r="5" spans="1:13">
      <c r="A5" s="7">
        <v>4</v>
      </c>
      <c r="B5" s="7">
        <v>2</v>
      </c>
      <c r="C5" s="7">
        <v>22</v>
      </c>
      <c r="D5" s="7" t="s">
        <v>6</v>
      </c>
      <c r="E5" s="8">
        <v>25000</v>
      </c>
      <c r="F5" s="7"/>
      <c r="G5" s="7" t="str">
        <f t="shared" si="0"/>
        <v>Not Matched</v>
      </c>
      <c r="K5">
        <f>AVERAGE(C2:C36)</f>
        <v>35.485714285714288</v>
      </c>
      <c r="L5">
        <f>MAX(C2:C36)</f>
        <v>62</v>
      </c>
      <c r="M5">
        <f>MIN(C2:C36)</f>
        <v>17</v>
      </c>
    </row>
    <row r="6" spans="1:13">
      <c r="A6" s="7">
        <v>5</v>
      </c>
      <c r="B6" s="7">
        <v>1</v>
      </c>
      <c r="C6" s="7">
        <v>17</v>
      </c>
      <c r="D6" s="7" t="s">
        <v>6</v>
      </c>
      <c r="E6" s="8">
        <v>10000</v>
      </c>
      <c r="F6" s="7"/>
      <c r="G6" s="7" t="str">
        <f t="shared" si="0"/>
        <v>Not Matched</v>
      </c>
    </row>
    <row r="7" spans="1:13">
      <c r="A7" s="7">
        <v>6</v>
      </c>
      <c r="B7" s="7">
        <v>25</v>
      </c>
      <c r="C7" s="7">
        <v>62</v>
      </c>
      <c r="D7" s="7" t="s">
        <v>6</v>
      </c>
      <c r="E7" s="8">
        <v>5001000</v>
      </c>
      <c r="F7" s="7"/>
      <c r="G7" s="7">
        <f>IF(C7:C41&gt;50,E7:E41,"Not Matched")</f>
        <v>5001000</v>
      </c>
    </row>
    <row r="8" spans="1:13">
      <c r="A8" s="7">
        <v>7</v>
      </c>
      <c r="B8" s="7">
        <v>19</v>
      </c>
      <c r="C8" s="7">
        <v>54</v>
      </c>
      <c r="D8" s="7" t="s">
        <v>5</v>
      </c>
      <c r="E8" s="8">
        <v>800000</v>
      </c>
      <c r="F8" s="7"/>
      <c r="G8" s="7">
        <f>IF(C2:C42&gt;50,E2:E42,"Not Matched")</f>
        <v>800000</v>
      </c>
    </row>
    <row r="9" spans="1:13">
      <c r="A9" s="7">
        <v>8</v>
      </c>
      <c r="B9" s="7">
        <v>2</v>
      </c>
      <c r="C9" s="7">
        <v>21</v>
      </c>
      <c r="D9" s="7" t="s">
        <v>5</v>
      </c>
      <c r="E9" s="8">
        <v>9000</v>
      </c>
      <c r="F9" s="7"/>
      <c r="G9" s="7" t="str">
        <f t="shared" si="0"/>
        <v>Not Matched</v>
      </c>
    </row>
    <row r="10" spans="1:13">
      <c r="A10" s="7">
        <v>9</v>
      </c>
      <c r="B10" s="7">
        <v>10</v>
      </c>
      <c r="C10" s="7">
        <v>36</v>
      </c>
      <c r="D10" s="7" t="s">
        <v>5</v>
      </c>
      <c r="E10" s="8">
        <v>61500</v>
      </c>
      <c r="F10" s="7"/>
      <c r="G10" s="7" t="str">
        <f t="shared" si="0"/>
        <v>Not Matched</v>
      </c>
    </row>
    <row r="11" spans="1:13">
      <c r="A11" s="7">
        <v>10</v>
      </c>
      <c r="B11" s="7">
        <v>15</v>
      </c>
      <c r="C11" s="7">
        <v>54</v>
      </c>
      <c r="D11" s="7" t="s">
        <v>5</v>
      </c>
      <c r="E11" s="8">
        <v>650000</v>
      </c>
      <c r="F11" s="7"/>
      <c r="G11" s="7">
        <f t="shared" si="0"/>
        <v>650000</v>
      </c>
    </row>
    <row r="12" spans="1:13">
      <c r="A12" s="7">
        <v>11</v>
      </c>
      <c r="B12" s="7">
        <v>4</v>
      </c>
      <c r="C12" s="7">
        <v>26</v>
      </c>
      <c r="D12" s="7" t="s">
        <v>5</v>
      </c>
      <c r="E12" s="8">
        <v>250000</v>
      </c>
      <c r="F12" s="7"/>
      <c r="G12" s="7" t="str">
        <f t="shared" si="0"/>
        <v>Not Matched</v>
      </c>
    </row>
    <row r="13" spans="1:13">
      <c r="A13" s="7">
        <v>12</v>
      </c>
      <c r="B13" s="7">
        <v>6</v>
      </c>
      <c r="C13" s="7">
        <v>29</v>
      </c>
      <c r="D13" s="7" t="s">
        <v>6</v>
      </c>
      <c r="E13" s="8">
        <v>1400000</v>
      </c>
      <c r="F13" s="7"/>
      <c r="G13" s="7" t="str">
        <f t="shared" si="0"/>
        <v>Not Matched</v>
      </c>
    </row>
    <row r="14" spans="1:13">
      <c r="A14" s="7">
        <v>13</v>
      </c>
      <c r="B14" s="7">
        <v>14</v>
      </c>
      <c r="C14" s="7">
        <v>39</v>
      </c>
      <c r="D14" s="7" t="s">
        <v>6</v>
      </c>
      <c r="E14" s="8">
        <v>6000050</v>
      </c>
      <c r="F14" s="7"/>
      <c r="G14" s="7" t="str">
        <f t="shared" si="0"/>
        <v>Not Matched</v>
      </c>
    </row>
    <row r="15" spans="1:13">
      <c r="A15" s="7">
        <v>14</v>
      </c>
      <c r="B15" s="7">
        <v>11</v>
      </c>
      <c r="C15" s="7">
        <v>40</v>
      </c>
      <c r="D15" s="7" t="s">
        <v>6</v>
      </c>
      <c r="E15" s="8">
        <v>220100</v>
      </c>
      <c r="F15" s="7"/>
      <c r="G15" s="7" t="str">
        <f t="shared" si="0"/>
        <v>Not Matched</v>
      </c>
    </row>
    <row r="16" spans="1:13">
      <c r="A16" s="7">
        <v>15</v>
      </c>
      <c r="B16" s="7">
        <v>2</v>
      </c>
      <c r="C16" s="7">
        <v>23</v>
      </c>
      <c r="D16" s="7" t="s">
        <v>6</v>
      </c>
      <c r="E16" s="8">
        <v>7500</v>
      </c>
      <c r="F16" s="7"/>
      <c r="G16" s="7" t="str">
        <f t="shared" si="0"/>
        <v>Not Matched</v>
      </c>
    </row>
    <row r="17" spans="1:7">
      <c r="A17" s="7">
        <v>16</v>
      </c>
      <c r="B17" s="7">
        <v>4</v>
      </c>
      <c r="C17" s="7">
        <v>27</v>
      </c>
      <c r="D17" s="7" t="s">
        <v>5</v>
      </c>
      <c r="E17" s="8">
        <v>87000</v>
      </c>
      <c r="F17" s="7"/>
      <c r="G17" s="7" t="str">
        <f t="shared" si="0"/>
        <v>Not Matched</v>
      </c>
    </row>
    <row r="18" spans="1:7">
      <c r="A18" s="7">
        <v>17</v>
      </c>
      <c r="B18" s="7">
        <v>10</v>
      </c>
      <c r="C18" s="7">
        <v>34</v>
      </c>
      <c r="D18" s="7" t="s">
        <v>5</v>
      </c>
      <c r="E18" s="8">
        <v>930000</v>
      </c>
      <c r="F18" s="7"/>
      <c r="G18" s="7" t="str">
        <f t="shared" si="0"/>
        <v>Not Matched</v>
      </c>
    </row>
    <row r="19" spans="1:7">
      <c r="A19" s="7">
        <v>18</v>
      </c>
      <c r="B19" s="7">
        <v>15</v>
      </c>
      <c r="C19" s="7">
        <v>54</v>
      </c>
      <c r="D19" s="7" t="s">
        <v>5</v>
      </c>
      <c r="E19" s="8">
        <v>7900000</v>
      </c>
      <c r="F19" s="7"/>
      <c r="G19" s="7">
        <f t="shared" si="0"/>
        <v>7900000</v>
      </c>
    </row>
    <row r="20" spans="1:7">
      <c r="A20" s="7">
        <v>19</v>
      </c>
      <c r="B20" s="7">
        <v>2</v>
      </c>
      <c r="C20" s="7">
        <v>21</v>
      </c>
      <c r="D20" s="7" t="s">
        <v>6</v>
      </c>
      <c r="E20" s="8">
        <v>15000</v>
      </c>
      <c r="F20" s="7"/>
      <c r="G20" s="7" t="str">
        <f t="shared" si="0"/>
        <v>Not Matched</v>
      </c>
    </row>
    <row r="21" spans="1:7">
      <c r="A21" s="7">
        <v>20</v>
      </c>
      <c r="B21" s="7">
        <v>10</v>
      </c>
      <c r="C21" s="7">
        <v>36</v>
      </c>
      <c r="D21" s="7" t="s">
        <v>6</v>
      </c>
      <c r="E21" s="8">
        <v>330000</v>
      </c>
      <c r="F21" s="7"/>
      <c r="G21" s="7" t="str">
        <f t="shared" si="0"/>
        <v>Not Matched</v>
      </c>
    </row>
    <row r="22" spans="1:7">
      <c r="A22" s="7">
        <v>21</v>
      </c>
      <c r="B22" s="7">
        <v>15</v>
      </c>
      <c r="C22" s="7">
        <v>54</v>
      </c>
      <c r="D22" s="7" t="s">
        <v>6</v>
      </c>
      <c r="E22" s="8">
        <v>6570000</v>
      </c>
      <c r="F22" s="7"/>
      <c r="G22" s="7">
        <f t="shared" si="0"/>
        <v>6570000</v>
      </c>
    </row>
    <row r="23" spans="1:7">
      <c r="A23" s="7">
        <v>22</v>
      </c>
      <c r="B23" s="7">
        <v>4</v>
      </c>
      <c r="C23" s="7">
        <v>26</v>
      </c>
      <c r="D23" s="7" t="s">
        <v>6</v>
      </c>
      <c r="E23" s="8">
        <v>25000</v>
      </c>
      <c r="F23" s="7"/>
      <c r="G23" s="7" t="str">
        <f t="shared" si="0"/>
        <v>Not Matched</v>
      </c>
    </row>
    <row r="24" spans="1:7">
      <c r="A24" s="7">
        <v>23</v>
      </c>
      <c r="B24" s="7">
        <v>5</v>
      </c>
      <c r="C24" s="7">
        <v>29</v>
      </c>
      <c r="D24" s="7" t="s">
        <v>6</v>
      </c>
      <c r="E24" s="8">
        <v>6845000</v>
      </c>
      <c r="F24" s="7"/>
      <c r="G24" s="7" t="str">
        <f t="shared" si="0"/>
        <v>Not Matched</v>
      </c>
    </row>
    <row r="25" spans="1:7">
      <c r="A25" s="7">
        <v>24</v>
      </c>
      <c r="B25" s="7">
        <v>1</v>
      </c>
      <c r="C25" s="7">
        <v>21</v>
      </c>
      <c r="D25" s="7" t="s">
        <v>5</v>
      </c>
      <c r="E25" s="8">
        <v>6000</v>
      </c>
      <c r="F25" s="7"/>
      <c r="G25" s="7" t="str">
        <f t="shared" si="0"/>
        <v>Not Matched</v>
      </c>
    </row>
    <row r="26" spans="1:7">
      <c r="A26" s="7">
        <v>25</v>
      </c>
      <c r="B26" s="7">
        <v>4</v>
      </c>
      <c r="C26" s="7">
        <v>23</v>
      </c>
      <c r="D26" s="7" t="s">
        <v>5</v>
      </c>
      <c r="E26" s="8">
        <v>8900</v>
      </c>
      <c r="F26" s="7"/>
      <c r="G26" s="7" t="str">
        <f t="shared" si="0"/>
        <v>Not Matched</v>
      </c>
    </row>
    <row r="27" spans="1:7">
      <c r="A27" s="7">
        <v>26</v>
      </c>
      <c r="B27" s="7">
        <v>3</v>
      </c>
      <c r="C27" s="7">
        <v>22</v>
      </c>
      <c r="D27" s="7" t="s">
        <v>5</v>
      </c>
      <c r="E27" s="8">
        <v>20000</v>
      </c>
      <c r="F27" s="7"/>
      <c r="G27" s="7" t="str">
        <f t="shared" si="0"/>
        <v>Not Matched</v>
      </c>
    </row>
    <row r="28" spans="1:7">
      <c r="A28" s="7">
        <v>27</v>
      </c>
      <c r="B28" s="7">
        <v>1</v>
      </c>
      <c r="C28" s="7">
        <v>18</v>
      </c>
      <c r="D28" s="7" t="s">
        <v>6</v>
      </c>
      <c r="E28" s="8">
        <v>3000</v>
      </c>
      <c r="F28" s="7"/>
      <c r="G28" s="7" t="str">
        <f t="shared" si="0"/>
        <v>Not Matched</v>
      </c>
    </row>
    <row r="29" spans="1:7">
      <c r="A29" s="7">
        <v>28</v>
      </c>
      <c r="B29" s="7">
        <v>27</v>
      </c>
      <c r="C29" s="7">
        <v>62</v>
      </c>
      <c r="D29" s="7" t="s">
        <v>5</v>
      </c>
      <c r="E29" s="8">
        <v>10000000</v>
      </c>
      <c r="F29" s="7"/>
      <c r="G29" s="7">
        <f t="shared" si="0"/>
        <v>10000000</v>
      </c>
    </row>
    <row r="30" spans="1:7">
      <c r="A30" s="7">
        <v>29</v>
      </c>
      <c r="B30" s="7">
        <v>19</v>
      </c>
      <c r="C30" s="7">
        <v>54</v>
      </c>
      <c r="D30" s="7" t="s">
        <v>5</v>
      </c>
      <c r="E30" s="8">
        <v>5000000</v>
      </c>
      <c r="F30" s="7"/>
      <c r="G30" s="7">
        <f t="shared" si="0"/>
        <v>5000000</v>
      </c>
    </row>
    <row r="31" spans="1:7">
      <c r="A31" s="7">
        <v>30</v>
      </c>
      <c r="B31" s="7">
        <v>2</v>
      </c>
      <c r="C31" s="7">
        <v>21</v>
      </c>
      <c r="D31" s="7" t="s">
        <v>5</v>
      </c>
      <c r="E31" s="8">
        <v>6100</v>
      </c>
      <c r="F31" s="7"/>
      <c r="G31" s="7" t="str">
        <f t="shared" si="0"/>
        <v>Not Matched</v>
      </c>
    </row>
    <row r="32" spans="1:7">
      <c r="A32" s="7">
        <v>31</v>
      </c>
      <c r="B32" s="7">
        <v>10</v>
      </c>
      <c r="C32" s="7">
        <v>34</v>
      </c>
      <c r="D32" s="7" t="s">
        <v>6</v>
      </c>
      <c r="E32" s="8">
        <v>80000</v>
      </c>
      <c r="F32" s="7"/>
      <c r="G32" s="7" t="str">
        <f t="shared" si="0"/>
        <v>Not Matched</v>
      </c>
    </row>
    <row r="33" spans="1:7">
      <c r="A33" s="7">
        <v>32</v>
      </c>
      <c r="B33" s="7">
        <v>15</v>
      </c>
      <c r="C33" s="7">
        <v>54</v>
      </c>
      <c r="D33" s="7" t="s">
        <v>6</v>
      </c>
      <c r="E33" s="8">
        <v>900000</v>
      </c>
      <c r="F33" s="7"/>
      <c r="G33" s="7">
        <f t="shared" si="0"/>
        <v>900000</v>
      </c>
    </row>
    <row r="34" spans="1:7">
      <c r="A34" s="7">
        <v>33</v>
      </c>
      <c r="B34" s="7">
        <v>20</v>
      </c>
      <c r="C34" s="7">
        <v>55</v>
      </c>
      <c r="D34" s="7" t="s">
        <v>5</v>
      </c>
      <c r="E34" s="8">
        <v>1540000</v>
      </c>
      <c r="F34" s="7"/>
      <c r="G34" s="7">
        <f t="shared" si="0"/>
        <v>1540000</v>
      </c>
    </row>
    <row r="35" spans="1:7">
      <c r="A35" s="7">
        <v>34</v>
      </c>
      <c r="B35" s="7">
        <v>19</v>
      </c>
      <c r="C35" s="7">
        <v>53</v>
      </c>
      <c r="D35" s="7" t="s">
        <v>5</v>
      </c>
      <c r="E35" s="8">
        <v>9300000</v>
      </c>
      <c r="F35" s="7"/>
      <c r="G35" s="7">
        <f t="shared" si="0"/>
        <v>9300000</v>
      </c>
    </row>
    <row r="36" spans="1:7">
      <c r="A36" s="7">
        <v>35</v>
      </c>
      <c r="B36" s="7">
        <v>16</v>
      </c>
      <c r="C36" s="7">
        <v>49</v>
      </c>
      <c r="D36" s="7" t="s">
        <v>6</v>
      </c>
      <c r="E36" s="8">
        <v>7600000</v>
      </c>
      <c r="F36" s="7"/>
      <c r="G36" s="7" t="str">
        <f t="shared" si="0"/>
        <v>Not Matched</v>
      </c>
    </row>
    <row r="37" spans="1:7">
      <c r="A37" s="7"/>
      <c r="B37" s="7"/>
      <c r="C37" s="7"/>
      <c r="D37" s="7"/>
      <c r="E37" s="7"/>
      <c r="F37" s="7"/>
      <c r="G3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62"/>
  <sheetViews>
    <sheetView topLeftCell="A40" workbookViewId="0">
      <selection activeCell="C47" sqref="C47"/>
    </sheetView>
  </sheetViews>
  <sheetFormatPr defaultRowHeight="14.5"/>
  <cols>
    <col min="1" max="1" width="13.1796875" bestFit="1" customWidth="1"/>
    <col min="2" max="2" width="19.54296875" bestFit="1" customWidth="1"/>
    <col min="3" max="3" width="12.81640625" bestFit="1" customWidth="1"/>
    <col min="4" max="4" width="11.26953125" bestFit="1" customWidth="1"/>
    <col min="5" max="7" width="7.54296875" bestFit="1" customWidth="1"/>
    <col min="8" max="10" width="8.54296875" bestFit="1" customWidth="1"/>
    <col min="11" max="11" width="7.54296875" bestFit="1" customWidth="1"/>
    <col min="12" max="12" width="8.54296875" bestFit="1" customWidth="1"/>
    <col min="13" max="13" width="13.1796875" bestFit="1" customWidth="1"/>
    <col min="14" max="14" width="19.54296875" bestFit="1" customWidth="1"/>
    <col min="15" max="17" width="10.1796875" bestFit="1" customWidth="1"/>
    <col min="18" max="19" width="8.54296875" bestFit="1" customWidth="1"/>
    <col min="20" max="20" width="10.1796875" bestFit="1" customWidth="1"/>
    <col min="21" max="22" width="8.54296875" bestFit="1" customWidth="1"/>
    <col min="23" max="26" width="10.1796875" bestFit="1" customWidth="1"/>
    <col min="27" max="27" width="11.1796875" bestFit="1" customWidth="1"/>
    <col min="28" max="29" width="10.1796875" bestFit="1" customWidth="1"/>
    <col min="30" max="31" width="11.1796875" bestFit="1" customWidth="1"/>
    <col min="32" max="35" width="10.1796875" bestFit="1" customWidth="1"/>
    <col min="36" max="37" width="11.1796875" bestFit="1" customWidth="1"/>
    <col min="38" max="38" width="11.26953125" bestFit="1" customWidth="1"/>
  </cols>
  <sheetData>
    <row r="3" spans="1:2">
      <c r="A3" s="2" t="s">
        <v>17</v>
      </c>
      <c r="B3" t="s">
        <v>19</v>
      </c>
    </row>
    <row r="4" spans="1:2">
      <c r="A4" s="3" t="s">
        <v>5</v>
      </c>
      <c r="B4" s="1">
        <v>36988500</v>
      </c>
    </row>
    <row r="5" spans="1:2">
      <c r="A5" s="4">
        <v>1</v>
      </c>
      <c r="B5" s="1">
        <v>6000</v>
      </c>
    </row>
    <row r="6" spans="1:2">
      <c r="A6" s="4">
        <v>2</v>
      </c>
      <c r="B6" s="1">
        <v>15100</v>
      </c>
    </row>
    <row r="7" spans="1:2">
      <c r="A7" s="4">
        <v>3</v>
      </c>
      <c r="B7" s="1">
        <v>190000</v>
      </c>
    </row>
    <row r="8" spans="1:2">
      <c r="A8" s="4">
        <v>5</v>
      </c>
      <c r="B8" s="1">
        <v>250000</v>
      </c>
    </row>
    <row r="9" spans="1:2">
      <c r="A9" s="4">
        <v>4</v>
      </c>
      <c r="B9" s="1">
        <v>345900</v>
      </c>
    </row>
    <row r="10" spans="1:2">
      <c r="A10" s="4">
        <v>10</v>
      </c>
      <c r="B10" s="1">
        <v>991500</v>
      </c>
    </row>
    <row r="11" spans="1:2">
      <c r="A11" s="4">
        <v>20</v>
      </c>
      <c r="B11" s="1">
        <v>1540000</v>
      </c>
    </row>
    <row r="12" spans="1:2">
      <c r="A12" s="4">
        <v>15</v>
      </c>
      <c r="B12" s="1">
        <v>8550000</v>
      </c>
    </row>
    <row r="13" spans="1:2">
      <c r="A13" s="4">
        <v>27</v>
      </c>
      <c r="B13" s="1">
        <v>10000000</v>
      </c>
    </row>
    <row r="14" spans="1:2">
      <c r="A14" s="4">
        <v>19</v>
      </c>
      <c r="B14" s="1">
        <v>15100000</v>
      </c>
    </row>
    <row r="15" spans="1:2">
      <c r="A15" s="3" t="s">
        <v>6</v>
      </c>
      <c r="B15" s="1">
        <v>35081650</v>
      </c>
    </row>
    <row r="16" spans="1:2">
      <c r="A16" s="4">
        <v>4</v>
      </c>
      <c r="B16" s="1">
        <v>25000</v>
      </c>
    </row>
    <row r="17" spans="1:2">
      <c r="A17" s="4">
        <v>2</v>
      </c>
      <c r="B17" s="1">
        <v>47500</v>
      </c>
    </row>
    <row r="18" spans="1:2">
      <c r="A18" s="4">
        <v>1</v>
      </c>
      <c r="B18" s="1">
        <v>63000</v>
      </c>
    </row>
    <row r="19" spans="1:2">
      <c r="A19" s="4">
        <v>11</v>
      </c>
      <c r="B19" s="1">
        <v>220100</v>
      </c>
    </row>
    <row r="20" spans="1:2">
      <c r="A20" s="4">
        <v>10</v>
      </c>
      <c r="B20" s="1">
        <v>410000</v>
      </c>
    </row>
    <row r="21" spans="1:2">
      <c r="A21" s="4">
        <v>6</v>
      </c>
      <c r="B21" s="1">
        <v>1400000</v>
      </c>
    </row>
    <row r="22" spans="1:2">
      <c r="A22" s="4">
        <v>25</v>
      </c>
      <c r="B22" s="1">
        <v>5001000</v>
      </c>
    </row>
    <row r="23" spans="1:2">
      <c r="A23" s="4">
        <v>14</v>
      </c>
      <c r="B23" s="1">
        <v>6000050</v>
      </c>
    </row>
    <row r="24" spans="1:2">
      <c r="A24" s="4">
        <v>5</v>
      </c>
      <c r="B24" s="1">
        <v>6845000</v>
      </c>
    </row>
    <row r="25" spans="1:2">
      <c r="A25" s="4">
        <v>15</v>
      </c>
      <c r="B25" s="1">
        <v>7470000</v>
      </c>
    </row>
    <row r="26" spans="1:2">
      <c r="A26" s="4">
        <v>16</v>
      </c>
      <c r="B26" s="1">
        <v>7600000</v>
      </c>
    </row>
    <row r="27" spans="1:2">
      <c r="A27" s="3" t="s">
        <v>18</v>
      </c>
      <c r="B27" s="1">
        <v>72070150</v>
      </c>
    </row>
    <row r="33" spans="1:2">
      <c r="A33" s="10" t="s">
        <v>17</v>
      </c>
      <c r="B33" s="11" t="s">
        <v>20</v>
      </c>
    </row>
    <row r="34" spans="1:2">
      <c r="A34" s="12" t="s">
        <v>5</v>
      </c>
      <c r="B34" s="1">
        <v>36988500</v>
      </c>
    </row>
    <row r="35" spans="1:2">
      <c r="A35" s="13">
        <v>22</v>
      </c>
      <c r="B35" s="14">
        <v>20000</v>
      </c>
    </row>
    <row r="36" spans="1:2">
      <c r="A36" s="13">
        <v>21</v>
      </c>
      <c r="B36" s="14">
        <v>21100</v>
      </c>
    </row>
    <row r="37" spans="1:2">
      <c r="A37" s="13">
        <v>36</v>
      </c>
      <c r="B37" s="14">
        <v>61500</v>
      </c>
    </row>
    <row r="38" spans="1:2">
      <c r="A38" s="13">
        <v>27</v>
      </c>
      <c r="B38" s="14">
        <v>87000</v>
      </c>
    </row>
    <row r="39" spans="1:2">
      <c r="A39" s="13">
        <v>23</v>
      </c>
      <c r="B39" s="14">
        <v>178900</v>
      </c>
    </row>
    <row r="40" spans="1:2">
      <c r="A40" s="13">
        <v>28</v>
      </c>
      <c r="B40" s="14">
        <v>250000</v>
      </c>
    </row>
    <row r="41" spans="1:2">
      <c r="A41" s="13">
        <v>26</v>
      </c>
      <c r="B41" s="14">
        <v>250000</v>
      </c>
    </row>
    <row r="42" spans="1:2">
      <c r="A42" s="13">
        <v>34</v>
      </c>
      <c r="B42" s="14">
        <v>930000</v>
      </c>
    </row>
    <row r="43" spans="1:2">
      <c r="A43" s="13">
        <v>55</v>
      </c>
      <c r="B43" s="14">
        <v>1540000</v>
      </c>
    </row>
    <row r="44" spans="1:2">
      <c r="A44" s="13">
        <v>53</v>
      </c>
      <c r="B44" s="14">
        <v>9300000</v>
      </c>
    </row>
    <row r="45" spans="1:2">
      <c r="A45" s="13">
        <v>62</v>
      </c>
      <c r="B45" s="14">
        <v>10000000</v>
      </c>
    </row>
    <row r="46" spans="1:2">
      <c r="A46" s="13">
        <v>54</v>
      </c>
      <c r="B46" s="14">
        <v>14350000</v>
      </c>
    </row>
    <row r="47" spans="1:2">
      <c r="A47" s="3" t="s">
        <v>6</v>
      </c>
      <c r="B47" s="1">
        <v>35081650</v>
      </c>
    </row>
    <row r="48" spans="1:2">
      <c r="A48" s="13">
        <v>18</v>
      </c>
      <c r="B48" s="14">
        <v>3000</v>
      </c>
    </row>
    <row r="49" spans="1:2">
      <c r="A49" s="13">
        <v>23</v>
      </c>
      <c r="B49" s="14">
        <v>7500</v>
      </c>
    </row>
    <row r="50" spans="1:2">
      <c r="A50" s="13">
        <v>17</v>
      </c>
      <c r="B50" s="14">
        <v>10000</v>
      </c>
    </row>
    <row r="51" spans="1:2">
      <c r="A51" s="13">
        <v>26</v>
      </c>
      <c r="B51" s="14">
        <v>25000</v>
      </c>
    </row>
    <row r="52" spans="1:2">
      <c r="A52" s="13">
        <v>22</v>
      </c>
      <c r="B52" s="14">
        <v>25000</v>
      </c>
    </row>
    <row r="53" spans="1:2">
      <c r="A53" s="13">
        <v>21</v>
      </c>
      <c r="B53" s="14">
        <v>65000</v>
      </c>
    </row>
    <row r="54" spans="1:2">
      <c r="A54" s="13">
        <v>34</v>
      </c>
      <c r="B54" s="14">
        <v>80000</v>
      </c>
    </row>
    <row r="55" spans="1:2">
      <c r="A55" s="13">
        <v>40</v>
      </c>
      <c r="B55" s="14">
        <v>220100</v>
      </c>
    </row>
    <row r="56" spans="1:2">
      <c r="A56" s="13">
        <v>36</v>
      </c>
      <c r="B56" s="14">
        <v>330000</v>
      </c>
    </row>
    <row r="57" spans="1:2">
      <c r="A57" s="13">
        <v>62</v>
      </c>
      <c r="B57" s="14">
        <v>5001000</v>
      </c>
    </row>
    <row r="58" spans="1:2">
      <c r="A58" s="13">
        <v>39</v>
      </c>
      <c r="B58" s="14">
        <v>6000050</v>
      </c>
    </row>
    <row r="59" spans="1:2">
      <c r="A59" s="13">
        <v>54</v>
      </c>
      <c r="B59" s="14">
        <v>7470000</v>
      </c>
    </row>
    <row r="60" spans="1:2">
      <c r="A60" s="13">
        <v>49</v>
      </c>
      <c r="B60" s="14">
        <v>7600000</v>
      </c>
    </row>
    <row r="61" spans="1:2">
      <c r="A61" s="4">
        <v>29</v>
      </c>
      <c r="B61" s="1">
        <v>8245000</v>
      </c>
    </row>
    <row r="62" spans="1:2">
      <c r="A62" s="3" t="s">
        <v>18</v>
      </c>
      <c r="B62" s="1">
        <v>72070150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showGridLines="0" topLeftCell="A4" workbookViewId="0">
      <selection activeCell="E27" sqref="E27"/>
    </sheetView>
  </sheetViews>
  <sheetFormatPr defaultRowHeight="14.5"/>
  <sheetData>
    <row r="1" spans="1:9">
      <c r="A1" s="15" t="s">
        <v>21</v>
      </c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>
      <c r="A3" s="16"/>
      <c r="B3" s="16"/>
      <c r="C3" s="16"/>
      <c r="D3" s="16"/>
      <c r="E3" s="16"/>
      <c r="F3" s="16"/>
      <c r="G3" s="16"/>
      <c r="H3" s="16"/>
      <c r="I3" s="16"/>
    </row>
  </sheetData>
  <mergeCells count="1">
    <mergeCell ref="A1:I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tabSelected="1" topLeftCell="A4" workbookViewId="0">
      <selection activeCell="G20" sqref="G20"/>
    </sheetView>
  </sheetViews>
  <sheetFormatPr defaultRowHeight="14.5"/>
  <cols>
    <col min="2" max="2" width="9.54296875" customWidth="1"/>
    <col min="5" max="5" width="15.26953125" bestFit="1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7">
        <v>1</v>
      </c>
      <c r="B2" s="7">
        <v>5</v>
      </c>
      <c r="C2" s="7">
        <v>28</v>
      </c>
      <c r="D2" s="7" t="s">
        <v>5</v>
      </c>
      <c r="E2" s="8">
        <v>250000</v>
      </c>
    </row>
    <row r="3" spans="1:5">
      <c r="A3" s="7">
        <v>2</v>
      </c>
      <c r="B3" s="7">
        <v>1</v>
      </c>
      <c r="C3" s="7">
        <v>21</v>
      </c>
      <c r="D3" s="7" t="s">
        <v>6</v>
      </c>
      <c r="E3" s="8">
        <v>50000</v>
      </c>
    </row>
    <row r="4" spans="1:5">
      <c r="A4" s="7">
        <v>3</v>
      </c>
      <c r="B4" s="7">
        <v>3</v>
      </c>
      <c r="C4" s="7">
        <v>23</v>
      </c>
      <c r="D4" s="7" t="s">
        <v>5</v>
      </c>
      <c r="E4" s="8">
        <v>170000</v>
      </c>
    </row>
    <row r="5" spans="1:5">
      <c r="A5" s="7">
        <v>4</v>
      </c>
      <c r="B5" s="7">
        <v>2</v>
      </c>
      <c r="C5" s="7">
        <v>22</v>
      </c>
      <c r="D5" s="7" t="s">
        <v>6</v>
      </c>
      <c r="E5" s="8">
        <v>25000</v>
      </c>
    </row>
    <row r="6" spans="1:5">
      <c r="A6" s="7">
        <v>5</v>
      </c>
      <c r="B6" s="7">
        <v>1</v>
      </c>
      <c r="C6" s="7">
        <v>17</v>
      </c>
      <c r="D6" s="7" t="s">
        <v>6</v>
      </c>
      <c r="E6" s="8">
        <v>10000</v>
      </c>
    </row>
    <row r="7" spans="1:5">
      <c r="A7" s="7">
        <v>6</v>
      </c>
      <c r="B7" s="7">
        <v>25</v>
      </c>
      <c r="C7" s="7">
        <v>62</v>
      </c>
      <c r="D7" s="7" t="s">
        <v>6</v>
      </c>
      <c r="E7" s="8">
        <v>5001000</v>
      </c>
    </row>
    <row r="8" spans="1:5">
      <c r="A8" s="7">
        <v>7</v>
      </c>
      <c r="B8" s="7">
        <v>19</v>
      </c>
      <c r="C8" s="7">
        <v>54</v>
      </c>
      <c r="D8" s="7" t="s">
        <v>5</v>
      </c>
      <c r="E8" s="8">
        <v>800000</v>
      </c>
    </row>
    <row r="9" spans="1:5">
      <c r="A9" s="7">
        <v>8</v>
      </c>
      <c r="B9" s="7">
        <v>2</v>
      </c>
      <c r="C9" s="7">
        <v>21</v>
      </c>
      <c r="D9" s="7" t="s">
        <v>5</v>
      </c>
      <c r="E9" s="8">
        <v>9000</v>
      </c>
    </row>
    <row r="10" spans="1:5">
      <c r="A10" s="7">
        <v>9</v>
      </c>
      <c r="B10" s="7">
        <v>10</v>
      </c>
      <c r="C10" s="7">
        <v>36</v>
      </c>
      <c r="D10" s="7" t="s">
        <v>5</v>
      </c>
      <c r="E10" s="8">
        <v>61500</v>
      </c>
    </row>
    <row r="11" spans="1:5">
      <c r="A11" s="7">
        <v>10</v>
      </c>
      <c r="B11" s="7">
        <v>15</v>
      </c>
      <c r="C11" s="7">
        <v>54</v>
      </c>
      <c r="D11" s="7" t="s">
        <v>5</v>
      </c>
      <c r="E11" s="8">
        <v>650000</v>
      </c>
    </row>
    <row r="12" spans="1:5">
      <c r="A12" s="7">
        <v>11</v>
      </c>
      <c r="B12" s="7">
        <v>4</v>
      </c>
      <c r="C12" s="7">
        <v>26</v>
      </c>
      <c r="D12" s="7" t="s">
        <v>5</v>
      </c>
      <c r="E12" s="8">
        <v>250000</v>
      </c>
    </row>
    <row r="13" spans="1:5">
      <c r="A13" s="7">
        <v>12</v>
      </c>
      <c r="B13" s="7">
        <v>6</v>
      </c>
      <c r="C13" s="7">
        <v>29</v>
      </c>
      <c r="D13" s="7" t="s">
        <v>6</v>
      </c>
      <c r="E13" s="8">
        <v>1400000</v>
      </c>
    </row>
    <row r="14" spans="1:5">
      <c r="A14" s="7">
        <v>13</v>
      </c>
      <c r="B14" s="7">
        <v>14</v>
      </c>
      <c r="C14" s="7">
        <v>39</v>
      </c>
      <c r="D14" s="7" t="s">
        <v>6</v>
      </c>
      <c r="E14" s="8">
        <v>6000050</v>
      </c>
    </row>
    <row r="15" spans="1:5">
      <c r="A15" s="7">
        <v>14</v>
      </c>
      <c r="B15" s="7">
        <v>11</v>
      </c>
      <c r="C15" s="7">
        <v>40</v>
      </c>
      <c r="D15" s="7" t="s">
        <v>6</v>
      </c>
      <c r="E15" s="8">
        <v>220100</v>
      </c>
    </row>
    <row r="16" spans="1:5">
      <c r="A16" s="7">
        <v>15</v>
      </c>
      <c r="B16" s="7">
        <v>2</v>
      </c>
      <c r="C16" s="7">
        <v>23</v>
      </c>
      <c r="D16" s="7" t="s">
        <v>6</v>
      </c>
      <c r="E16" s="8">
        <v>7500</v>
      </c>
    </row>
    <row r="17" spans="1:5">
      <c r="A17" s="7">
        <v>16</v>
      </c>
      <c r="B17" s="7">
        <v>4</v>
      </c>
      <c r="C17" s="7">
        <v>27</v>
      </c>
      <c r="D17" s="7" t="s">
        <v>5</v>
      </c>
      <c r="E17" s="8">
        <v>87000</v>
      </c>
    </row>
    <row r="18" spans="1:5">
      <c r="A18" s="7">
        <v>17</v>
      </c>
      <c r="B18" s="7">
        <v>10</v>
      </c>
      <c r="C18" s="7">
        <v>34</v>
      </c>
      <c r="D18" s="7" t="s">
        <v>5</v>
      </c>
      <c r="E18" s="8">
        <v>930000</v>
      </c>
    </row>
    <row r="19" spans="1:5">
      <c r="A19" s="7">
        <v>18</v>
      </c>
      <c r="B19" s="7">
        <v>15</v>
      </c>
      <c r="C19" s="7">
        <v>54</v>
      </c>
      <c r="D19" s="7" t="s">
        <v>5</v>
      </c>
      <c r="E19" s="8">
        <v>7900000</v>
      </c>
    </row>
    <row r="20" spans="1:5">
      <c r="A20" s="7">
        <v>19</v>
      </c>
      <c r="B20" s="7">
        <v>2</v>
      </c>
      <c r="C20" s="7">
        <v>21</v>
      </c>
      <c r="D20" s="7" t="s">
        <v>6</v>
      </c>
      <c r="E20" s="8">
        <v>15000</v>
      </c>
    </row>
    <row r="21" spans="1:5">
      <c r="A21" s="7">
        <v>20</v>
      </c>
      <c r="B21" s="7">
        <v>10</v>
      </c>
      <c r="C21" s="7">
        <v>36</v>
      </c>
      <c r="D21" s="7" t="s">
        <v>6</v>
      </c>
      <c r="E21" s="8">
        <v>330000</v>
      </c>
    </row>
    <row r="22" spans="1:5">
      <c r="A22" s="7">
        <v>21</v>
      </c>
      <c r="B22" s="7">
        <v>15</v>
      </c>
      <c r="C22" s="7">
        <v>54</v>
      </c>
      <c r="D22" s="7" t="s">
        <v>6</v>
      </c>
      <c r="E22" s="8">
        <v>6570000</v>
      </c>
    </row>
    <row r="23" spans="1:5">
      <c r="A23" s="7">
        <v>22</v>
      </c>
      <c r="B23" s="7">
        <v>4</v>
      </c>
      <c r="C23" s="7">
        <v>26</v>
      </c>
      <c r="D23" s="7" t="s">
        <v>6</v>
      </c>
      <c r="E23" s="8">
        <v>25000</v>
      </c>
    </row>
    <row r="24" spans="1:5">
      <c r="A24" s="7">
        <v>23</v>
      </c>
      <c r="B24" s="7">
        <v>5</v>
      </c>
      <c r="C24" s="7">
        <v>29</v>
      </c>
      <c r="D24" s="7" t="s">
        <v>6</v>
      </c>
      <c r="E24" s="8">
        <v>6845000</v>
      </c>
    </row>
    <row r="25" spans="1:5">
      <c r="A25" s="7">
        <v>24</v>
      </c>
      <c r="B25" s="7">
        <v>1</v>
      </c>
      <c r="C25" s="7">
        <v>21</v>
      </c>
      <c r="D25" s="7" t="s">
        <v>5</v>
      </c>
      <c r="E25" s="8">
        <v>6000</v>
      </c>
    </row>
    <row r="26" spans="1:5">
      <c r="A26" s="7">
        <v>25</v>
      </c>
      <c r="B26" s="7">
        <v>4</v>
      </c>
      <c r="C26" s="7">
        <v>23</v>
      </c>
      <c r="D26" s="7" t="s">
        <v>5</v>
      </c>
      <c r="E26" s="8">
        <v>8900</v>
      </c>
    </row>
    <row r="27" spans="1:5">
      <c r="A27" s="7">
        <v>26</v>
      </c>
      <c r="B27" s="7">
        <v>3</v>
      </c>
      <c r="C27" s="7">
        <v>22</v>
      </c>
      <c r="D27" s="7" t="s">
        <v>5</v>
      </c>
      <c r="E27" s="8">
        <v>20000</v>
      </c>
    </row>
    <row r="28" spans="1:5">
      <c r="A28" s="7">
        <v>27</v>
      </c>
      <c r="B28" s="7">
        <v>1</v>
      </c>
      <c r="C28" s="7">
        <v>18</v>
      </c>
      <c r="D28" s="7" t="s">
        <v>6</v>
      </c>
      <c r="E28" s="8">
        <v>3000</v>
      </c>
    </row>
    <row r="29" spans="1:5">
      <c r="A29" s="7">
        <v>28</v>
      </c>
      <c r="B29" s="7">
        <v>27</v>
      </c>
      <c r="C29" s="7">
        <v>62</v>
      </c>
      <c r="D29" s="7" t="s">
        <v>5</v>
      </c>
      <c r="E29" s="8">
        <v>10000000</v>
      </c>
    </row>
    <row r="30" spans="1:5">
      <c r="A30" s="7">
        <v>29</v>
      </c>
      <c r="B30" s="7">
        <v>19</v>
      </c>
      <c r="C30" s="7">
        <v>54</v>
      </c>
      <c r="D30" s="7" t="s">
        <v>5</v>
      </c>
      <c r="E30" s="8">
        <v>5000000</v>
      </c>
    </row>
    <row r="31" spans="1:5">
      <c r="A31" s="7">
        <v>30</v>
      </c>
      <c r="B31" s="7">
        <v>2</v>
      </c>
      <c r="C31" s="7">
        <v>21</v>
      </c>
      <c r="D31" s="7" t="s">
        <v>5</v>
      </c>
      <c r="E31" s="8">
        <v>6100</v>
      </c>
    </row>
    <row r="32" spans="1:5">
      <c r="A32" s="7">
        <v>31</v>
      </c>
      <c r="B32" s="7">
        <v>10</v>
      </c>
      <c r="C32" s="7">
        <v>34</v>
      </c>
      <c r="D32" s="7" t="s">
        <v>6</v>
      </c>
      <c r="E32" s="8">
        <v>80000</v>
      </c>
    </row>
    <row r="33" spans="1:5">
      <c r="A33" s="7">
        <v>32</v>
      </c>
      <c r="B33" s="7">
        <v>15</v>
      </c>
      <c r="C33" s="7">
        <v>54</v>
      </c>
      <c r="D33" s="7" t="s">
        <v>6</v>
      </c>
      <c r="E33" s="8">
        <v>900000</v>
      </c>
    </row>
    <row r="34" spans="1:5">
      <c r="A34" s="7">
        <v>33</v>
      </c>
      <c r="B34" s="7">
        <v>20</v>
      </c>
      <c r="C34" s="7">
        <v>55</v>
      </c>
      <c r="D34" s="7" t="s">
        <v>5</v>
      </c>
      <c r="E34" s="8">
        <v>1540000</v>
      </c>
    </row>
    <row r="35" spans="1:5">
      <c r="A35" s="7">
        <v>34</v>
      </c>
      <c r="B35" s="7">
        <v>19</v>
      </c>
      <c r="C35" s="7">
        <v>53</v>
      </c>
      <c r="D35" s="7" t="s">
        <v>5</v>
      </c>
      <c r="E35" s="8">
        <v>9300000</v>
      </c>
    </row>
    <row r="36" spans="1:5">
      <c r="A36" s="7">
        <v>35</v>
      </c>
      <c r="B36" s="7">
        <v>16</v>
      </c>
      <c r="C36" s="7">
        <v>49</v>
      </c>
      <c r="D36" s="7" t="s">
        <v>6</v>
      </c>
      <c r="E36" s="8">
        <v>7600000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Pivot Tables</vt:lpstr>
      <vt:lpstr>Dashboard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2025-12-06T00:02:41Z</cp:lastPrinted>
  <dcterms:created xsi:type="dcterms:W3CDTF">2025-12-06T00:07:06Z</dcterms:created>
  <dcterms:modified xsi:type="dcterms:W3CDTF">2025-12-07T03:32:36Z</dcterms:modified>
</cp:coreProperties>
</file>